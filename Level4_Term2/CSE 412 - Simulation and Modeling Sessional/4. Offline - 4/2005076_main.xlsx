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BUET Academics\Level 4_Term 2\Lab Cources\CSE 412 - Simulation and Modeling Sessional\4. Offline - 4\"/>
    </mc:Choice>
  </mc:AlternateContent>
  <xr:revisionPtr revIDLastSave="0" documentId="13_ncr:1_{06B07D6B-7635-4248-8F80-1DFD9579BD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" sheetId="3" r:id="rId1"/>
    <sheet name="PI_estimate" sheetId="2" r:id="rId2"/>
    <sheet name="System_surviva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 a="1"/>
  <c r="B14" i="1" s="1"/>
  <c r="O7" i="2" a="1"/>
  <c r="O7" i="2" s="1"/>
  <c r="N7" i="2" a="1"/>
  <c r="N7" i="2" s="1"/>
  <c r="M7" i="2" a="1"/>
  <c r="M7" i="2" s="1"/>
  <c r="C7" i="2" a="1"/>
  <c r="C7" i="2" s="1"/>
  <c r="B7" i="2" a="1"/>
  <c r="B7" i="2" s="1"/>
  <c r="D14" i="1" a="1"/>
  <c r="D14" i="1" s="1"/>
  <c r="N24" i="1"/>
  <c r="E14" i="1" a="1"/>
  <c r="E14" i="1" s="1"/>
  <c r="F14" i="1" a="1"/>
  <c r="F14" i="1" s="1"/>
  <c r="C14" i="1" a="1"/>
  <c r="C14" i="1" s="1"/>
  <c r="A14" i="1" a="1"/>
  <c r="A14" i="1" s="1"/>
  <c r="U27" i="2"/>
  <c r="L7" i="2" a="1"/>
  <c r="L7" i="2" s="1"/>
  <c r="A7" i="2" a="1"/>
  <c r="A7" i="2" s="1"/>
  <c r="I27" i="2"/>
  <c r="G14" i="1" l="1" a="1"/>
  <c r="G14" i="1" s="1"/>
  <c r="P7" i="2" a="1"/>
  <c r="H14" i="1" l="1" a="1"/>
  <c r="P7" i="2"/>
  <c r="Q7" i="2" s="1" a="1"/>
  <c r="H14" i="1" l="1"/>
  <c r="I14" i="1" s="1" a="1"/>
  <c r="Q7" i="2"/>
  <c r="I14" i="1" l="1"/>
  <c r="J14" i="1" s="1" a="1"/>
  <c r="J14" i="1" s="1"/>
  <c r="R31" i="2"/>
  <c r="R39" i="2"/>
  <c r="R47" i="2"/>
  <c r="R55" i="2"/>
  <c r="R63" i="2"/>
  <c r="R71" i="2"/>
  <c r="R79" i="2"/>
  <c r="R87" i="2"/>
  <c r="R95" i="2"/>
  <c r="R103" i="2"/>
  <c r="R111" i="2"/>
  <c r="R119" i="2"/>
  <c r="R127" i="2"/>
  <c r="R135" i="2"/>
  <c r="R143" i="2"/>
  <c r="R151" i="2"/>
  <c r="R159" i="2"/>
  <c r="R167" i="2"/>
  <c r="R175" i="2"/>
  <c r="R183" i="2"/>
  <c r="R191" i="2"/>
  <c r="R199" i="2"/>
  <c r="R207" i="2"/>
  <c r="R215" i="2"/>
  <c r="R223" i="2"/>
  <c r="R231" i="2"/>
  <c r="R239" i="2"/>
  <c r="R247" i="2"/>
  <c r="R255" i="2"/>
  <c r="R263" i="2"/>
  <c r="R271" i="2"/>
  <c r="R279" i="2"/>
  <c r="R287" i="2"/>
  <c r="R295" i="2"/>
  <c r="R303" i="2"/>
  <c r="R311" i="2"/>
  <c r="R319" i="2"/>
  <c r="R327" i="2"/>
  <c r="R335" i="2"/>
  <c r="R343" i="2"/>
  <c r="R351" i="2"/>
  <c r="R359" i="2"/>
  <c r="R367" i="2"/>
  <c r="R375" i="2"/>
  <c r="R383" i="2"/>
  <c r="R391" i="2"/>
  <c r="R399" i="2"/>
  <c r="R407" i="2"/>
  <c r="R415" i="2"/>
  <c r="R423" i="2"/>
  <c r="R431" i="2"/>
  <c r="R439" i="2"/>
  <c r="R447" i="2"/>
  <c r="R455" i="2"/>
  <c r="R463" i="2"/>
  <c r="R471" i="2"/>
  <c r="R479" i="2"/>
  <c r="R487" i="2"/>
  <c r="R495" i="2"/>
  <c r="R503" i="2"/>
  <c r="R511" i="2"/>
  <c r="R519" i="2"/>
  <c r="R527" i="2"/>
  <c r="R535" i="2"/>
  <c r="R543" i="2"/>
  <c r="R551" i="2"/>
  <c r="R559" i="2"/>
  <c r="R567" i="2"/>
  <c r="R575" i="2"/>
  <c r="R583" i="2"/>
  <c r="R591" i="2"/>
  <c r="R599" i="2"/>
  <c r="R607" i="2"/>
  <c r="R615" i="2"/>
  <c r="R623" i="2"/>
  <c r="R631" i="2"/>
  <c r="R639" i="2"/>
  <c r="R647" i="2"/>
  <c r="R655" i="2"/>
  <c r="R663" i="2"/>
  <c r="R671" i="2"/>
  <c r="R679" i="2"/>
  <c r="R687" i="2"/>
  <c r="R695" i="2"/>
  <c r="R703" i="2"/>
  <c r="R32" i="2"/>
  <c r="R40" i="2"/>
  <c r="R48" i="2"/>
  <c r="R56" i="2"/>
  <c r="R64" i="2"/>
  <c r="R72" i="2"/>
  <c r="R80" i="2"/>
  <c r="R88" i="2"/>
  <c r="R96" i="2"/>
  <c r="R104" i="2"/>
  <c r="R112" i="2"/>
  <c r="R120" i="2"/>
  <c r="R128" i="2"/>
  <c r="R136" i="2"/>
  <c r="R144" i="2"/>
  <c r="R152" i="2"/>
  <c r="R160" i="2"/>
  <c r="R168" i="2"/>
  <c r="R176" i="2"/>
  <c r="R184" i="2"/>
  <c r="R192" i="2"/>
  <c r="R200" i="2"/>
  <c r="R208" i="2"/>
  <c r="R216" i="2"/>
  <c r="R224" i="2"/>
  <c r="R232" i="2"/>
  <c r="R240" i="2"/>
  <c r="R248" i="2"/>
  <c r="R256" i="2"/>
  <c r="R264" i="2"/>
  <c r="R272" i="2"/>
  <c r="R33" i="2"/>
  <c r="R41" i="2"/>
  <c r="R49" i="2"/>
  <c r="R57" i="2"/>
  <c r="R65" i="2"/>
  <c r="R73" i="2"/>
  <c r="R81" i="2"/>
  <c r="R89" i="2"/>
  <c r="R97" i="2"/>
  <c r="R105" i="2"/>
  <c r="R113" i="2"/>
  <c r="R121" i="2"/>
  <c r="R129" i="2"/>
  <c r="R137" i="2"/>
  <c r="R145" i="2"/>
  <c r="R153" i="2"/>
  <c r="R161" i="2"/>
  <c r="R169" i="2"/>
  <c r="R177" i="2"/>
  <c r="R185" i="2"/>
  <c r="R193" i="2"/>
  <c r="R201" i="2"/>
  <c r="R209" i="2"/>
  <c r="R217" i="2"/>
  <c r="R225" i="2"/>
  <c r="R233" i="2"/>
  <c r="R241" i="2"/>
  <c r="R249" i="2"/>
  <c r="R257" i="2"/>
  <c r="R265" i="2"/>
  <c r="R273" i="2"/>
  <c r="R281" i="2"/>
  <c r="R289" i="2"/>
  <c r="R297" i="2"/>
  <c r="R305" i="2"/>
  <c r="R313" i="2"/>
  <c r="R321" i="2"/>
  <c r="R329" i="2"/>
  <c r="R337" i="2"/>
  <c r="R345" i="2"/>
  <c r="R353" i="2"/>
  <c r="R361" i="2"/>
  <c r="R369" i="2"/>
  <c r="R377" i="2"/>
  <c r="R385" i="2"/>
  <c r="R393" i="2"/>
  <c r="R401" i="2"/>
  <c r="R409" i="2"/>
  <c r="R417" i="2"/>
  <c r="R425" i="2"/>
  <c r="R433" i="2"/>
  <c r="R441" i="2"/>
  <c r="R449" i="2"/>
  <c r="R457" i="2"/>
  <c r="R465" i="2"/>
  <c r="R473" i="2"/>
  <c r="R481" i="2"/>
  <c r="R489" i="2"/>
  <c r="R497" i="2"/>
  <c r="R505" i="2"/>
  <c r="R513" i="2"/>
  <c r="R521" i="2"/>
  <c r="R529" i="2"/>
  <c r="R537" i="2"/>
  <c r="R545" i="2"/>
  <c r="R553" i="2"/>
  <c r="R561" i="2"/>
  <c r="R569" i="2"/>
  <c r="R577" i="2"/>
  <c r="R585" i="2"/>
  <c r="R593" i="2"/>
  <c r="R601" i="2"/>
  <c r="R609" i="2"/>
  <c r="R617" i="2"/>
  <c r="R625" i="2"/>
  <c r="R633" i="2"/>
  <c r="R641" i="2"/>
  <c r="R649" i="2"/>
  <c r="R657" i="2"/>
  <c r="R665" i="2"/>
  <c r="R673" i="2"/>
  <c r="R681" i="2"/>
  <c r="R689" i="2"/>
  <c r="R697" i="2"/>
  <c r="R705" i="2"/>
  <c r="R34" i="2"/>
  <c r="R42" i="2"/>
  <c r="R50" i="2"/>
  <c r="R58" i="2"/>
  <c r="R66" i="2"/>
  <c r="R74" i="2"/>
  <c r="R82" i="2"/>
  <c r="R90" i="2"/>
  <c r="R98" i="2"/>
  <c r="R106" i="2"/>
  <c r="R114" i="2"/>
  <c r="R122" i="2"/>
  <c r="R130" i="2"/>
  <c r="R138" i="2"/>
  <c r="R146" i="2"/>
  <c r="R154" i="2"/>
  <c r="R162" i="2"/>
  <c r="R170" i="2"/>
  <c r="R178" i="2"/>
  <c r="R186" i="2"/>
  <c r="R194" i="2"/>
  <c r="R202" i="2"/>
  <c r="R210" i="2"/>
  <c r="R218" i="2"/>
  <c r="R226" i="2"/>
  <c r="R234" i="2"/>
  <c r="R242" i="2"/>
  <c r="R250" i="2"/>
  <c r="R258" i="2"/>
  <c r="R266" i="2"/>
  <c r="R274" i="2"/>
  <c r="R282" i="2"/>
  <c r="R290" i="2"/>
  <c r="R298" i="2"/>
  <c r="R306" i="2"/>
  <c r="R314" i="2"/>
  <c r="R322" i="2"/>
  <c r="R330" i="2"/>
  <c r="R338" i="2"/>
  <c r="R346" i="2"/>
  <c r="R354" i="2"/>
  <c r="R362" i="2"/>
  <c r="R370" i="2"/>
  <c r="R378" i="2"/>
  <c r="R386" i="2"/>
  <c r="R394" i="2"/>
  <c r="R402" i="2"/>
  <c r="R410" i="2"/>
  <c r="R418" i="2"/>
  <c r="R426" i="2"/>
  <c r="R434" i="2"/>
  <c r="R442" i="2"/>
  <c r="R450" i="2"/>
  <c r="R458" i="2"/>
  <c r="R466" i="2"/>
  <c r="R474" i="2"/>
  <c r="R482" i="2"/>
  <c r="R490" i="2"/>
  <c r="R498" i="2"/>
  <c r="R506" i="2"/>
  <c r="R514" i="2"/>
  <c r="R522" i="2"/>
  <c r="R530" i="2"/>
  <c r="R538" i="2"/>
  <c r="R546" i="2"/>
  <c r="R554" i="2"/>
  <c r="R562" i="2"/>
  <c r="R570" i="2"/>
  <c r="R578" i="2"/>
  <c r="R586" i="2"/>
  <c r="R594" i="2"/>
  <c r="R602" i="2"/>
  <c r="R610" i="2"/>
  <c r="R618" i="2"/>
  <c r="R626" i="2"/>
  <c r="R634" i="2"/>
  <c r="R642" i="2"/>
  <c r="R650" i="2"/>
  <c r="R658" i="2"/>
  <c r="R666" i="2"/>
  <c r="R674" i="2"/>
  <c r="R682" i="2"/>
  <c r="R690" i="2"/>
  <c r="R698" i="2"/>
  <c r="R706" i="2"/>
  <c r="R35" i="2"/>
  <c r="R43" i="2"/>
  <c r="R51" i="2"/>
  <c r="R59" i="2"/>
  <c r="R67" i="2"/>
  <c r="R75" i="2"/>
  <c r="R83" i="2"/>
  <c r="R91" i="2"/>
  <c r="R99" i="2"/>
  <c r="R107" i="2"/>
  <c r="R115" i="2"/>
  <c r="R123" i="2"/>
  <c r="R131" i="2"/>
  <c r="R139" i="2"/>
  <c r="R147" i="2"/>
  <c r="R155" i="2"/>
  <c r="R163" i="2"/>
  <c r="R171" i="2"/>
  <c r="R179" i="2"/>
  <c r="R187" i="2"/>
  <c r="R195" i="2"/>
  <c r="R203" i="2"/>
  <c r="R211" i="2"/>
  <c r="R219" i="2"/>
  <c r="R227" i="2"/>
  <c r="R235" i="2"/>
  <c r="R243" i="2"/>
  <c r="R251" i="2"/>
  <c r="R259" i="2"/>
  <c r="R267" i="2"/>
  <c r="R275" i="2"/>
  <c r="R283" i="2"/>
  <c r="R291" i="2"/>
  <c r="R299" i="2"/>
  <c r="R307" i="2"/>
  <c r="R315" i="2"/>
  <c r="R323" i="2"/>
  <c r="R331" i="2"/>
  <c r="R339" i="2"/>
  <c r="R347" i="2"/>
  <c r="R355" i="2"/>
  <c r="R363" i="2"/>
  <c r="R371" i="2"/>
  <c r="R379" i="2"/>
  <c r="R387" i="2"/>
  <c r="R395" i="2"/>
  <c r="R403" i="2"/>
  <c r="R411" i="2"/>
  <c r="R419" i="2"/>
  <c r="R427" i="2"/>
  <c r="R435" i="2"/>
  <c r="R443" i="2"/>
  <c r="R451" i="2"/>
  <c r="R459" i="2"/>
  <c r="R467" i="2"/>
  <c r="R475" i="2"/>
  <c r="R483" i="2"/>
  <c r="R491" i="2"/>
  <c r="R499" i="2"/>
  <c r="R507" i="2"/>
  <c r="R515" i="2"/>
  <c r="R523" i="2"/>
  <c r="R531" i="2"/>
  <c r="R539" i="2"/>
  <c r="R547" i="2"/>
  <c r="R555" i="2"/>
  <c r="R563" i="2"/>
  <c r="R571" i="2"/>
  <c r="R579" i="2"/>
  <c r="R587" i="2"/>
  <c r="R595" i="2"/>
  <c r="R603" i="2"/>
  <c r="R611" i="2"/>
  <c r="R619" i="2"/>
  <c r="R627" i="2"/>
  <c r="R635" i="2"/>
  <c r="R643" i="2"/>
  <c r="R651" i="2"/>
  <c r="R659" i="2"/>
  <c r="R667" i="2"/>
  <c r="R675" i="2"/>
  <c r="R683" i="2"/>
  <c r="R691" i="2"/>
  <c r="R699" i="2"/>
  <c r="R707" i="2"/>
  <c r="R36" i="2"/>
  <c r="R44" i="2"/>
  <c r="R52" i="2"/>
  <c r="R60" i="2"/>
  <c r="R68" i="2"/>
  <c r="R76" i="2"/>
  <c r="R84" i="2"/>
  <c r="R92" i="2"/>
  <c r="R100" i="2"/>
  <c r="R108" i="2"/>
  <c r="R116" i="2"/>
  <c r="R124" i="2"/>
  <c r="R132" i="2"/>
  <c r="R140" i="2"/>
  <c r="R148" i="2"/>
  <c r="R156" i="2"/>
  <c r="R164" i="2"/>
  <c r="R172" i="2"/>
  <c r="R180" i="2"/>
  <c r="R188" i="2"/>
  <c r="R196" i="2"/>
  <c r="R204" i="2"/>
  <c r="R212" i="2"/>
  <c r="R220" i="2"/>
  <c r="R228" i="2"/>
  <c r="R236" i="2"/>
  <c r="R244" i="2"/>
  <c r="R252" i="2"/>
  <c r="R260" i="2"/>
  <c r="R268" i="2"/>
  <c r="R38" i="2"/>
  <c r="R46" i="2"/>
  <c r="R54" i="2"/>
  <c r="R62" i="2"/>
  <c r="R70" i="2"/>
  <c r="R78" i="2"/>
  <c r="R86" i="2"/>
  <c r="R94" i="2"/>
  <c r="R102" i="2"/>
  <c r="R110" i="2"/>
  <c r="R118" i="2"/>
  <c r="R126" i="2"/>
  <c r="R134" i="2"/>
  <c r="R142" i="2"/>
  <c r="R150" i="2"/>
  <c r="R158" i="2"/>
  <c r="R166" i="2"/>
  <c r="R174" i="2"/>
  <c r="R182" i="2"/>
  <c r="R190" i="2"/>
  <c r="R198" i="2"/>
  <c r="R206" i="2"/>
  <c r="R214" i="2"/>
  <c r="R222" i="2"/>
  <c r="R230" i="2"/>
  <c r="R238" i="2"/>
  <c r="R246" i="2"/>
  <c r="R254" i="2"/>
  <c r="R262" i="2"/>
  <c r="R270" i="2"/>
  <c r="R278" i="2"/>
  <c r="R286" i="2"/>
  <c r="R294" i="2"/>
  <c r="R302" i="2"/>
  <c r="R310" i="2"/>
  <c r="R318" i="2"/>
  <c r="R326" i="2"/>
  <c r="R334" i="2"/>
  <c r="R342" i="2"/>
  <c r="R350" i="2"/>
  <c r="R358" i="2"/>
  <c r="R366" i="2"/>
  <c r="R374" i="2"/>
  <c r="R382" i="2"/>
  <c r="R390" i="2"/>
  <c r="R398" i="2"/>
  <c r="R406" i="2"/>
  <c r="R414" i="2"/>
  <c r="R422" i="2"/>
  <c r="R430" i="2"/>
  <c r="R438" i="2"/>
  <c r="R446" i="2"/>
  <c r="R454" i="2"/>
  <c r="R462" i="2"/>
  <c r="R470" i="2"/>
  <c r="R478" i="2"/>
  <c r="R486" i="2"/>
  <c r="R494" i="2"/>
  <c r="R502" i="2"/>
  <c r="R510" i="2"/>
  <c r="R518" i="2"/>
  <c r="R526" i="2"/>
  <c r="R534" i="2"/>
  <c r="R542" i="2"/>
  <c r="R550" i="2"/>
  <c r="R558" i="2"/>
  <c r="R566" i="2"/>
  <c r="R574" i="2"/>
  <c r="R582" i="2"/>
  <c r="R590" i="2"/>
  <c r="R598" i="2"/>
  <c r="R606" i="2"/>
  <c r="R614" i="2"/>
  <c r="R622" i="2"/>
  <c r="R630" i="2"/>
  <c r="R638" i="2"/>
  <c r="R646" i="2"/>
  <c r="R654" i="2"/>
  <c r="R662" i="2"/>
  <c r="R670" i="2"/>
  <c r="R678" i="2"/>
  <c r="R686" i="2"/>
  <c r="R694" i="2"/>
  <c r="R702" i="2"/>
  <c r="R710" i="2"/>
  <c r="R37" i="2"/>
  <c r="R101" i="2"/>
  <c r="R165" i="2"/>
  <c r="R229" i="2"/>
  <c r="R280" i="2"/>
  <c r="R301" i="2"/>
  <c r="R324" i="2"/>
  <c r="R344" i="2"/>
  <c r="R365" i="2"/>
  <c r="R388" i="2"/>
  <c r="R408" i="2"/>
  <c r="R429" i="2"/>
  <c r="R452" i="2"/>
  <c r="R472" i="2"/>
  <c r="R493" i="2"/>
  <c r="R516" i="2"/>
  <c r="R536" i="2"/>
  <c r="R557" i="2"/>
  <c r="R580" i="2"/>
  <c r="R600" i="2"/>
  <c r="R621" i="2"/>
  <c r="R644" i="2"/>
  <c r="R664" i="2"/>
  <c r="R685" i="2"/>
  <c r="R708" i="2"/>
  <c r="R717" i="2"/>
  <c r="R725" i="2"/>
  <c r="R733" i="2"/>
  <c r="R741" i="2"/>
  <c r="R749" i="2"/>
  <c r="R757" i="2"/>
  <c r="R765" i="2"/>
  <c r="R773" i="2"/>
  <c r="R781" i="2"/>
  <c r="R789" i="2"/>
  <c r="R797" i="2"/>
  <c r="R805" i="2"/>
  <c r="R813" i="2"/>
  <c r="R821" i="2"/>
  <c r="R829" i="2"/>
  <c r="R837" i="2"/>
  <c r="R845" i="2"/>
  <c r="R853" i="2"/>
  <c r="R861" i="2"/>
  <c r="R869" i="2"/>
  <c r="R877" i="2"/>
  <c r="R885" i="2"/>
  <c r="R893" i="2"/>
  <c r="R901" i="2"/>
  <c r="R909" i="2"/>
  <c r="R917" i="2"/>
  <c r="R925" i="2"/>
  <c r="R933" i="2"/>
  <c r="R941" i="2"/>
  <c r="R949" i="2"/>
  <c r="R957" i="2"/>
  <c r="R965" i="2"/>
  <c r="R973" i="2"/>
  <c r="R981" i="2"/>
  <c r="R989" i="2"/>
  <c r="R997" i="2"/>
  <c r="R1005" i="2"/>
  <c r="R1013" i="2"/>
  <c r="R1021" i="2"/>
  <c r="R1029" i="2"/>
  <c r="R1037" i="2"/>
  <c r="R1045" i="2"/>
  <c r="R1053" i="2"/>
  <c r="R1061" i="2"/>
  <c r="R1069" i="2"/>
  <c r="R1077" i="2"/>
  <c r="R1085" i="2"/>
  <c r="R1093" i="2"/>
  <c r="R1101" i="2"/>
  <c r="R1109" i="2"/>
  <c r="R1117" i="2"/>
  <c r="R1125" i="2"/>
  <c r="R1133" i="2"/>
  <c r="R1141" i="2"/>
  <c r="R1149" i="2"/>
  <c r="R1157" i="2"/>
  <c r="R1165" i="2"/>
  <c r="R1173" i="2"/>
  <c r="R1181" i="2"/>
  <c r="R1189" i="2"/>
  <c r="R1197" i="2"/>
  <c r="R45" i="2"/>
  <c r="R109" i="2"/>
  <c r="R173" i="2"/>
  <c r="R237" i="2"/>
  <c r="R284" i="2"/>
  <c r="R304" i="2"/>
  <c r="R325" i="2"/>
  <c r="R348" i="2"/>
  <c r="R368" i="2"/>
  <c r="R389" i="2"/>
  <c r="R412" i="2"/>
  <c r="R432" i="2"/>
  <c r="R453" i="2"/>
  <c r="R476" i="2"/>
  <c r="R496" i="2"/>
  <c r="R517" i="2"/>
  <c r="R540" i="2"/>
  <c r="R560" i="2"/>
  <c r="R581" i="2"/>
  <c r="R604" i="2"/>
  <c r="R624" i="2"/>
  <c r="R645" i="2"/>
  <c r="R668" i="2"/>
  <c r="R688" i="2"/>
  <c r="R709" i="2"/>
  <c r="R718" i="2"/>
  <c r="R726" i="2"/>
  <c r="R734" i="2"/>
  <c r="R742" i="2"/>
  <c r="R750" i="2"/>
  <c r="R758" i="2"/>
  <c r="R766" i="2"/>
  <c r="R774" i="2"/>
  <c r="R782" i="2"/>
  <c r="R790" i="2"/>
  <c r="R798" i="2"/>
  <c r="R806" i="2"/>
  <c r="R814" i="2"/>
  <c r="R822" i="2"/>
  <c r="R830" i="2"/>
  <c r="R838" i="2"/>
  <c r="R846" i="2"/>
  <c r="R854" i="2"/>
  <c r="R862" i="2"/>
  <c r="R870" i="2"/>
  <c r="R878" i="2"/>
  <c r="R886" i="2"/>
  <c r="R894" i="2"/>
  <c r="R902" i="2"/>
  <c r="R910" i="2"/>
  <c r="R918" i="2"/>
  <c r="R926" i="2"/>
  <c r="R934" i="2"/>
  <c r="R942" i="2"/>
  <c r="R950" i="2"/>
  <c r="R958" i="2"/>
  <c r="R966" i="2"/>
  <c r="R974" i="2"/>
  <c r="R982" i="2"/>
  <c r="R990" i="2"/>
  <c r="R998" i="2"/>
  <c r="R1006" i="2"/>
  <c r="R1014" i="2"/>
  <c r="R1022" i="2"/>
  <c r="R1030" i="2"/>
  <c r="R1038" i="2"/>
  <c r="R1046" i="2"/>
  <c r="R1054" i="2"/>
  <c r="R1062" i="2"/>
  <c r="R1070" i="2"/>
  <c r="R1078" i="2"/>
  <c r="R1086" i="2"/>
  <c r="R1094" i="2"/>
  <c r="R1102" i="2"/>
  <c r="R1110" i="2"/>
  <c r="R1118" i="2"/>
  <c r="R1126" i="2"/>
  <c r="R1134" i="2"/>
  <c r="R1142" i="2"/>
  <c r="R1150" i="2"/>
  <c r="R1158" i="2"/>
  <c r="R1166" i="2"/>
  <c r="R1174" i="2"/>
  <c r="R1182" i="2"/>
  <c r="R1190" i="2"/>
  <c r="R53" i="2"/>
  <c r="R117" i="2"/>
  <c r="R181" i="2"/>
  <c r="R245" i="2"/>
  <c r="R285" i="2"/>
  <c r="R308" i="2"/>
  <c r="R328" i="2"/>
  <c r="R349" i="2"/>
  <c r="R372" i="2"/>
  <c r="R392" i="2"/>
  <c r="R413" i="2"/>
  <c r="R436" i="2"/>
  <c r="R456" i="2"/>
  <c r="R477" i="2"/>
  <c r="R500" i="2"/>
  <c r="R520" i="2"/>
  <c r="R541" i="2"/>
  <c r="R564" i="2"/>
  <c r="R584" i="2"/>
  <c r="R605" i="2"/>
  <c r="R628" i="2"/>
  <c r="R648" i="2"/>
  <c r="R669" i="2"/>
  <c r="R692" i="2"/>
  <c r="R711" i="2"/>
  <c r="R719" i="2"/>
  <c r="R727" i="2"/>
  <c r="R735" i="2"/>
  <c r="R743" i="2"/>
  <c r="R751" i="2"/>
  <c r="R759" i="2"/>
  <c r="R767" i="2"/>
  <c r="R775" i="2"/>
  <c r="R783" i="2"/>
  <c r="R791" i="2"/>
  <c r="R799" i="2"/>
  <c r="R807" i="2"/>
  <c r="R815" i="2"/>
  <c r="R823" i="2"/>
  <c r="R831" i="2"/>
  <c r="R839" i="2"/>
  <c r="R847" i="2"/>
  <c r="R855" i="2"/>
  <c r="R863" i="2"/>
  <c r="R871" i="2"/>
  <c r="R879" i="2"/>
  <c r="R887" i="2"/>
  <c r="R895" i="2"/>
  <c r="R903" i="2"/>
  <c r="R911" i="2"/>
  <c r="R919" i="2"/>
  <c r="R927" i="2"/>
  <c r="R935" i="2"/>
  <c r="R943" i="2"/>
  <c r="R951" i="2"/>
  <c r="R959" i="2"/>
  <c r="R967" i="2"/>
  <c r="R975" i="2"/>
  <c r="R983" i="2"/>
  <c r="R991" i="2"/>
  <c r="R999" i="2"/>
  <c r="R1007" i="2"/>
  <c r="R1015" i="2"/>
  <c r="R1023" i="2"/>
  <c r="R1031" i="2"/>
  <c r="R1039" i="2"/>
  <c r="R1047" i="2"/>
  <c r="R1055" i="2"/>
  <c r="R1063" i="2"/>
  <c r="R1071" i="2"/>
  <c r="R1079" i="2"/>
  <c r="R1087" i="2"/>
  <c r="R1095" i="2"/>
  <c r="R1103" i="2"/>
  <c r="R1111" i="2"/>
  <c r="R1119" i="2"/>
  <c r="R1127" i="2"/>
  <c r="R1135" i="2"/>
  <c r="R1143" i="2"/>
  <c r="R1151" i="2"/>
  <c r="R1159" i="2"/>
  <c r="R1167" i="2"/>
  <c r="R1175" i="2"/>
  <c r="R1183" i="2"/>
  <c r="R1191" i="2"/>
  <c r="R61" i="2"/>
  <c r="R125" i="2"/>
  <c r="R189" i="2"/>
  <c r="R253" i="2"/>
  <c r="R288" i="2"/>
  <c r="R309" i="2"/>
  <c r="R332" i="2"/>
  <c r="R352" i="2"/>
  <c r="R373" i="2"/>
  <c r="R396" i="2"/>
  <c r="R416" i="2"/>
  <c r="R437" i="2"/>
  <c r="R460" i="2"/>
  <c r="R480" i="2"/>
  <c r="R501" i="2"/>
  <c r="R524" i="2"/>
  <c r="R544" i="2"/>
  <c r="R565" i="2"/>
  <c r="R588" i="2"/>
  <c r="R608" i="2"/>
  <c r="R629" i="2"/>
  <c r="R652" i="2"/>
  <c r="R672" i="2"/>
  <c r="R693" i="2"/>
  <c r="R712" i="2"/>
  <c r="R720" i="2"/>
  <c r="R728" i="2"/>
  <c r="R736" i="2"/>
  <c r="R744" i="2"/>
  <c r="R752" i="2"/>
  <c r="R760" i="2"/>
  <c r="R768" i="2"/>
  <c r="R776" i="2"/>
  <c r="R784" i="2"/>
  <c r="R792" i="2"/>
  <c r="R800" i="2"/>
  <c r="R808" i="2"/>
  <c r="R816" i="2"/>
  <c r="R824" i="2"/>
  <c r="R832" i="2"/>
  <c r="R840" i="2"/>
  <c r="R848" i="2"/>
  <c r="R856" i="2"/>
  <c r="R864" i="2"/>
  <c r="R872" i="2"/>
  <c r="R880" i="2"/>
  <c r="R888" i="2"/>
  <c r="R896" i="2"/>
  <c r="R904" i="2"/>
  <c r="R912" i="2"/>
  <c r="R920" i="2"/>
  <c r="R928" i="2"/>
  <c r="R936" i="2"/>
  <c r="R944" i="2"/>
  <c r="R952" i="2"/>
  <c r="R960" i="2"/>
  <c r="R968" i="2"/>
  <c r="R976" i="2"/>
  <c r="R984" i="2"/>
  <c r="R992" i="2"/>
  <c r="R1000" i="2"/>
  <c r="R1008" i="2"/>
  <c r="R1016" i="2"/>
  <c r="R1024" i="2"/>
  <c r="R1032" i="2"/>
  <c r="R1040" i="2"/>
  <c r="R1048" i="2"/>
  <c r="R1056" i="2"/>
  <c r="R1064" i="2"/>
  <c r="R1072" i="2"/>
  <c r="R1080" i="2"/>
  <c r="R1088" i="2"/>
  <c r="R1096" i="2"/>
  <c r="R1104" i="2"/>
  <c r="R1112" i="2"/>
  <c r="R1120" i="2"/>
  <c r="R1128" i="2"/>
  <c r="R69" i="2"/>
  <c r="R133" i="2"/>
  <c r="R197" i="2"/>
  <c r="R261" i="2"/>
  <c r="R292" i="2"/>
  <c r="R312" i="2"/>
  <c r="R333" i="2"/>
  <c r="R356" i="2"/>
  <c r="R376" i="2"/>
  <c r="R397" i="2"/>
  <c r="R420" i="2"/>
  <c r="R440" i="2"/>
  <c r="R461" i="2"/>
  <c r="R484" i="2"/>
  <c r="R504" i="2"/>
  <c r="R525" i="2"/>
  <c r="R548" i="2"/>
  <c r="R568" i="2"/>
  <c r="R589" i="2"/>
  <c r="R612" i="2"/>
  <c r="R632" i="2"/>
  <c r="R653" i="2"/>
  <c r="R676" i="2"/>
  <c r="R696" i="2"/>
  <c r="R713" i="2"/>
  <c r="R721" i="2"/>
  <c r="R729" i="2"/>
  <c r="R737" i="2"/>
  <c r="R745" i="2"/>
  <c r="R753" i="2"/>
  <c r="R761" i="2"/>
  <c r="R769" i="2"/>
  <c r="R777" i="2"/>
  <c r="R785" i="2"/>
  <c r="R793" i="2"/>
  <c r="R801" i="2"/>
  <c r="R809" i="2"/>
  <c r="R817" i="2"/>
  <c r="R825" i="2"/>
  <c r="R833" i="2"/>
  <c r="R841" i="2"/>
  <c r="R849" i="2"/>
  <c r="R857" i="2"/>
  <c r="R865" i="2"/>
  <c r="R873" i="2"/>
  <c r="R881" i="2"/>
  <c r="R889" i="2"/>
  <c r="R897" i="2"/>
  <c r="R905" i="2"/>
  <c r="R913" i="2"/>
  <c r="R921" i="2"/>
  <c r="R929" i="2"/>
  <c r="R937" i="2"/>
  <c r="R945" i="2"/>
  <c r="R953" i="2"/>
  <c r="R961" i="2"/>
  <c r="R969" i="2"/>
  <c r="R977" i="2"/>
  <c r="R985" i="2"/>
  <c r="R993" i="2"/>
  <c r="R1001" i="2"/>
  <c r="R1009" i="2"/>
  <c r="R1017" i="2"/>
  <c r="R1025" i="2"/>
  <c r="R1033" i="2"/>
  <c r="R1041" i="2"/>
  <c r="R1049" i="2"/>
  <c r="R1057" i="2"/>
  <c r="R1065" i="2"/>
  <c r="R1073" i="2"/>
  <c r="R1081" i="2"/>
  <c r="R1089" i="2"/>
  <c r="R1097" i="2"/>
  <c r="R1105" i="2"/>
  <c r="R1113" i="2"/>
  <c r="R1121" i="2"/>
  <c r="R1129" i="2"/>
  <c r="R1137" i="2"/>
  <c r="R1145" i="2"/>
  <c r="R1153" i="2"/>
  <c r="R1161" i="2"/>
  <c r="R1169" i="2"/>
  <c r="R1177" i="2"/>
  <c r="R1185" i="2"/>
  <c r="R1193" i="2"/>
  <c r="R93" i="2"/>
  <c r="R77" i="2"/>
  <c r="R269" i="2"/>
  <c r="R320" i="2"/>
  <c r="R381" i="2"/>
  <c r="R444" i="2"/>
  <c r="R492" i="2"/>
  <c r="R552" i="2"/>
  <c r="R613" i="2"/>
  <c r="R661" i="2"/>
  <c r="R715" i="2"/>
  <c r="R738" i="2"/>
  <c r="R756" i="2"/>
  <c r="R779" i="2"/>
  <c r="R802" i="2"/>
  <c r="R820" i="2"/>
  <c r="R843" i="2"/>
  <c r="R866" i="2"/>
  <c r="R884" i="2"/>
  <c r="R907" i="2"/>
  <c r="R930" i="2"/>
  <c r="R948" i="2"/>
  <c r="R971" i="2"/>
  <c r="R994" i="2"/>
  <c r="R1012" i="2"/>
  <c r="R1035" i="2"/>
  <c r="R1058" i="2"/>
  <c r="R1076" i="2"/>
  <c r="R1099" i="2"/>
  <c r="R1122" i="2"/>
  <c r="R1139" i="2"/>
  <c r="R1155" i="2"/>
  <c r="R1171" i="2"/>
  <c r="R1187" i="2"/>
  <c r="R1200" i="2"/>
  <c r="R1208" i="2"/>
  <c r="R1216" i="2"/>
  <c r="R1224" i="2"/>
  <c r="R1232" i="2"/>
  <c r="R1240" i="2"/>
  <c r="R1248" i="2"/>
  <c r="R1256" i="2"/>
  <c r="R1264" i="2"/>
  <c r="R1272" i="2"/>
  <c r="R1280" i="2"/>
  <c r="R1288" i="2"/>
  <c r="R1296" i="2"/>
  <c r="R1304" i="2"/>
  <c r="R1312" i="2"/>
  <c r="R1320" i="2"/>
  <c r="R1328" i="2"/>
  <c r="R1336" i="2"/>
  <c r="R1344" i="2"/>
  <c r="R1352" i="2"/>
  <c r="R1360" i="2"/>
  <c r="R1368" i="2"/>
  <c r="R1376" i="2"/>
  <c r="R1384" i="2"/>
  <c r="R1392" i="2"/>
  <c r="R1400" i="2"/>
  <c r="R1408" i="2"/>
  <c r="R1416" i="2"/>
  <c r="R1424" i="2"/>
  <c r="R1432" i="2"/>
  <c r="R1440" i="2"/>
  <c r="R1448" i="2"/>
  <c r="R1456" i="2"/>
  <c r="R1464" i="2"/>
  <c r="R1472" i="2"/>
  <c r="R1480" i="2"/>
  <c r="R1488" i="2"/>
  <c r="R1496" i="2"/>
  <c r="R1504" i="2"/>
  <c r="R1512" i="2"/>
  <c r="R1520" i="2"/>
  <c r="R1528" i="2"/>
  <c r="R1536" i="2"/>
  <c r="R1544" i="2"/>
  <c r="R1552" i="2"/>
  <c r="R1560" i="2"/>
  <c r="R1568" i="2"/>
  <c r="R1576" i="2"/>
  <c r="R1584" i="2"/>
  <c r="R1592" i="2"/>
  <c r="R1600" i="2"/>
  <c r="R1608" i="2"/>
  <c r="R1616" i="2"/>
  <c r="R1624" i="2"/>
  <c r="R1632" i="2"/>
  <c r="R1640" i="2"/>
  <c r="R85" i="2"/>
  <c r="R276" i="2"/>
  <c r="R336" i="2"/>
  <c r="R384" i="2"/>
  <c r="R445" i="2"/>
  <c r="R508" i="2"/>
  <c r="R556" i="2"/>
  <c r="R616" i="2"/>
  <c r="R677" i="2"/>
  <c r="R716" i="2"/>
  <c r="R739" i="2"/>
  <c r="R762" i="2"/>
  <c r="R780" i="2"/>
  <c r="R803" i="2"/>
  <c r="R826" i="2"/>
  <c r="R844" i="2"/>
  <c r="R867" i="2"/>
  <c r="R890" i="2"/>
  <c r="R908" i="2"/>
  <c r="R931" i="2"/>
  <c r="R954" i="2"/>
  <c r="R972" i="2"/>
  <c r="R995" i="2"/>
  <c r="R1018" i="2"/>
  <c r="R1036" i="2"/>
  <c r="R1059" i="2"/>
  <c r="R1082" i="2"/>
  <c r="R1100" i="2"/>
  <c r="R1123" i="2"/>
  <c r="R1140" i="2"/>
  <c r="R1156" i="2"/>
  <c r="R1172" i="2"/>
  <c r="R1188" i="2"/>
  <c r="R1201" i="2"/>
  <c r="R1209" i="2"/>
  <c r="R1217" i="2"/>
  <c r="R1225" i="2"/>
  <c r="R1233" i="2"/>
  <c r="R1241" i="2"/>
  <c r="R1249" i="2"/>
  <c r="R1257" i="2"/>
  <c r="R1265" i="2"/>
  <c r="R1273" i="2"/>
  <c r="R1281" i="2"/>
  <c r="R1289" i="2"/>
  <c r="R1297" i="2"/>
  <c r="R1305" i="2"/>
  <c r="R1313" i="2"/>
  <c r="R1321" i="2"/>
  <c r="R1329" i="2"/>
  <c r="R1337" i="2"/>
  <c r="R1345" i="2"/>
  <c r="R1353" i="2"/>
  <c r="R1361" i="2"/>
  <c r="R1369" i="2"/>
  <c r="R1377" i="2"/>
  <c r="R1385" i="2"/>
  <c r="R1393" i="2"/>
  <c r="R1401" i="2"/>
  <c r="R1409" i="2"/>
  <c r="R1417" i="2"/>
  <c r="R1425" i="2"/>
  <c r="R1433" i="2"/>
  <c r="R1441" i="2"/>
  <c r="R1449" i="2"/>
  <c r="R1457" i="2"/>
  <c r="R1465" i="2"/>
  <c r="R1473" i="2"/>
  <c r="R1481" i="2"/>
  <c r="R1489" i="2"/>
  <c r="R1497" i="2"/>
  <c r="R1505" i="2"/>
  <c r="R1513" i="2"/>
  <c r="R1521" i="2"/>
  <c r="R1529" i="2"/>
  <c r="R1537" i="2"/>
  <c r="R1545" i="2"/>
  <c r="R1553" i="2"/>
  <c r="R1561" i="2"/>
  <c r="R1569" i="2"/>
  <c r="R1577" i="2"/>
  <c r="R1585" i="2"/>
  <c r="R1593" i="2"/>
  <c r="R1601" i="2"/>
  <c r="R1609" i="2"/>
  <c r="R1617" i="2"/>
  <c r="R1625" i="2"/>
  <c r="R141" i="2"/>
  <c r="R277" i="2"/>
  <c r="R340" i="2"/>
  <c r="R400" i="2"/>
  <c r="R448" i="2"/>
  <c r="R509" i="2"/>
  <c r="R572" i="2"/>
  <c r="R620" i="2"/>
  <c r="R680" i="2"/>
  <c r="R722" i="2"/>
  <c r="R740" i="2"/>
  <c r="R763" i="2"/>
  <c r="R786" i="2"/>
  <c r="R804" i="2"/>
  <c r="R827" i="2"/>
  <c r="R850" i="2"/>
  <c r="R868" i="2"/>
  <c r="R891" i="2"/>
  <c r="R914" i="2"/>
  <c r="R932" i="2"/>
  <c r="R955" i="2"/>
  <c r="R978" i="2"/>
  <c r="R996" i="2"/>
  <c r="R1019" i="2"/>
  <c r="R1042" i="2"/>
  <c r="R1060" i="2"/>
  <c r="R1083" i="2"/>
  <c r="R1106" i="2"/>
  <c r="R1124" i="2"/>
  <c r="R1144" i="2"/>
  <c r="R1160" i="2"/>
  <c r="R1176" i="2"/>
  <c r="R1192" i="2"/>
  <c r="R1202" i="2"/>
  <c r="R1210" i="2"/>
  <c r="R1218" i="2"/>
  <c r="R1226" i="2"/>
  <c r="R1234" i="2"/>
  <c r="R1242" i="2"/>
  <c r="R1250" i="2"/>
  <c r="R1258" i="2"/>
  <c r="R1266" i="2"/>
  <c r="R1274" i="2"/>
  <c r="R1282" i="2"/>
  <c r="R1290" i="2"/>
  <c r="R1298" i="2"/>
  <c r="R1306" i="2"/>
  <c r="R1314" i="2"/>
  <c r="R1322" i="2"/>
  <c r="R1330" i="2"/>
  <c r="R1338" i="2"/>
  <c r="R1346" i="2"/>
  <c r="R1354" i="2"/>
  <c r="R1362" i="2"/>
  <c r="R1370" i="2"/>
  <c r="R1378" i="2"/>
  <c r="R1386" i="2"/>
  <c r="R1394" i="2"/>
  <c r="R1402" i="2"/>
  <c r="R1410" i="2"/>
  <c r="R149" i="2"/>
  <c r="R293" i="2"/>
  <c r="R341" i="2"/>
  <c r="R404" i="2"/>
  <c r="R464" i="2"/>
  <c r="R512" i="2"/>
  <c r="R573" i="2"/>
  <c r="R636" i="2"/>
  <c r="R684" i="2"/>
  <c r="R723" i="2"/>
  <c r="R746" i="2"/>
  <c r="R764" i="2"/>
  <c r="R787" i="2"/>
  <c r="R810" i="2"/>
  <c r="R828" i="2"/>
  <c r="R851" i="2"/>
  <c r="R874" i="2"/>
  <c r="R892" i="2"/>
  <c r="R915" i="2"/>
  <c r="R938" i="2"/>
  <c r="R956" i="2"/>
  <c r="R979" i="2"/>
  <c r="R1002" i="2"/>
  <c r="R1020" i="2"/>
  <c r="R1043" i="2"/>
  <c r="R1066" i="2"/>
  <c r="R1084" i="2"/>
  <c r="R1107" i="2"/>
  <c r="R1130" i="2"/>
  <c r="R1146" i="2"/>
  <c r="R1162" i="2"/>
  <c r="R1178" i="2"/>
  <c r="R1194" i="2"/>
  <c r="R1203" i="2"/>
  <c r="R1211" i="2"/>
  <c r="R1219" i="2"/>
  <c r="R1227" i="2"/>
  <c r="R1235" i="2"/>
  <c r="R1243" i="2"/>
  <c r="R1251" i="2"/>
  <c r="R1259" i="2"/>
  <c r="R1267" i="2"/>
  <c r="R1275" i="2"/>
  <c r="R1283" i="2"/>
  <c r="R1291" i="2"/>
  <c r="R1299" i="2"/>
  <c r="R1307" i="2"/>
  <c r="R1315" i="2"/>
  <c r="R1323" i="2"/>
  <c r="R1331" i="2"/>
  <c r="R1339" i="2"/>
  <c r="R1347" i="2"/>
  <c r="R1355" i="2"/>
  <c r="R1363" i="2"/>
  <c r="R1371" i="2"/>
  <c r="R1379" i="2"/>
  <c r="R1387" i="2"/>
  <c r="R1395" i="2"/>
  <c r="R1403" i="2"/>
  <c r="R1411" i="2"/>
  <c r="R1419" i="2"/>
  <c r="R1427" i="2"/>
  <c r="R1435" i="2"/>
  <c r="R1443" i="2"/>
  <c r="R1451" i="2"/>
  <c r="R1459" i="2"/>
  <c r="R1467" i="2"/>
  <c r="R1475" i="2"/>
  <c r="R1483" i="2"/>
  <c r="R1491" i="2"/>
  <c r="R1499" i="2"/>
  <c r="R1507" i="2"/>
  <c r="R1515" i="2"/>
  <c r="R1523" i="2"/>
  <c r="R1531" i="2"/>
  <c r="R1539" i="2"/>
  <c r="R1547" i="2"/>
  <c r="R1555" i="2"/>
  <c r="R1563" i="2"/>
  <c r="R1571" i="2"/>
  <c r="R1579" i="2"/>
  <c r="R1587" i="2"/>
  <c r="R1595" i="2"/>
  <c r="R1603" i="2"/>
  <c r="R1611" i="2"/>
  <c r="R157" i="2"/>
  <c r="R296" i="2"/>
  <c r="R357" i="2"/>
  <c r="R405" i="2"/>
  <c r="R468" i="2"/>
  <c r="R528" i="2"/>
  <c r="R576" i="2"/>
  <c r="R637" i="2"/>
  <c r="R700" i="2"/>
  <c r="R724" i="2"/>
  <c r="R747" i="2"/>
  <c r="R770" i="2"/>
  <c r="R788" i="2"/>
  <c r="R811" i="2"/>
  <c r="R834" i="2"/>
  <c r="R852" i="2"/>
  <c r="R875" i="2"/>
  <c r="R898" i="2"/>
  <c r="R916" i="2"/>
  <c r="R939" i="2"/>
  <c r="R962" i="2"/>
  <c r="R980" i="2"/>
  <c r="R1003" i="2"/>
  <c r="R1026" i="2"/>
  <c r="R1044" i="2"/>
  <c r="R1067" i="2"/>
  <c r="R1090" i="2"/>
  <c r="R1108" i="2"/>
  <c r="R1131" i="2"/>
  <c r="R1147" i="2"/>
  <c r="R1163" i="2"/>
  <c r="R1179" i="2"/>
  <c r="R1195" i="2"/>
  <c r="R1204" i="2"/>
  <c r="R1212" i="2"/>
  <c r="R1220" i="2"/>
  <c r="R1228" i="2"/>
  <c r="R1236" i="2"/>
  <c r="R1244" i="2"/>
  <c r="R1252" i="2"/>
  <c r="R1260" i="2"/>
  <c r="R1268" i="2"/>
  <c r="R1276" i="2"/>
  <c r="R1284" i="2"/>
  <c r="R1292" i="2"/>
  <c r="R1300" i="2"/>
  <c r="R1308" i="2"/>
  <c r="R1316" i="2"/>
  <c r="R1324" i="2"/>
  <c r="R1332" i="2"/>
  <c r="R1340" i="2"/>
  <c r="R1348" i="2"/>
  <c r="R1356" i="2"/>
  <c r="R1364" i="2"/>
  <c r="R1372" i="2"/>
  <c r="R1380" i="2"/>
  <c r="R1388" i="2"/>
  <c r="R1396" i="2"/>
  <c r="R1404" i="2"/>
  <c r="R1412" i="2"/>
  <c r="R1420" i="2"/>
  <c r="R1428" i="2"/>
  <c r="R1436" i="2"/>
  <c r="R1444" i="2"/>
  <c r="R1452" i="2"/>
  <c r="R1460" i="2"/>
  <c r="R1468" i="2"/>
  <c r="R1476" i="2"/>
  <c r="R1484" i="2"/>
  <c r="R1492" i="2"/>
  <c r="R1500" i="2"/>
  <c r="R221" i="2"/>
  <c r="R205" i="2"/>
  <c r="R421" i="2"/>
  <c r="R549" i="2"/>
  <c r="R704" i="2"/>
  <c r="R771" i="2"/>
  <c r="R819" i="2"/>
  <c r="R882" i="2"/>
  <c r="R940" i="2"/>
  <c r="R988" i="2"/>
  <c r="R1051" i="2"/>
  <c r="R1114" i="2"/>
  <c r="R1154" i="2"/>
  <c r="R1198" i="2"/>
  <c r="R1221" i="2"/>
  <c r="R1239" i="2"/>
  <c r="R1262" i="2"/>
  <c r="R1285" i="2"/>
  <c r="R1303" i="2"/>
  <c r="R1326" i="2"/>
  <c r="R1349" i="2"/>
  <c r="R1367" i="2"/>
  <c r="R1390" i="2"/>
  <c r="R1413" i="2"/>
  <c r="R1429" i="2"/>
  <c r="R1445" i="2"/>
  <c r="R1461" i="2"/>
  <c r="R1477" i="2"/>
  <c r="R1493" i="2"/>
  <c r="R1508" i="2"/>
  <c r="R1519" i="2"/>
  <c r="R1533" i="2"/>
  <c r="R1546" i="2"/>
  <c r="R1558" i="2"/>
  <c r="R1572" i="2"/>
  <c r="R1583" i="2"/>
  <c r="R1597" i="2"/>
  <c r="R1610" i="2"/>
  <c r="R1621" i="2"/>
  <c r="R1631" i="2"/>
  <c r="R1641" i="2"/>
  <c r="R1649" i="2"/>
  <c r="R1657" i="2"/>
  <c r="R1665" i="2"/>
  <c r="R1673" i="2"/>
  <c r="R1681" i="2"/>
  <c r="R1689" i="2"/>
  <c r="R1697" i="2"/>
  <c r="R1705" i="2"/>
  <c r="R1713" i="2"/>
  <c r="R1721" i="2"/>
  <c r="R1729" i="2"/>
  <c r="R1737" i="2"/>
  <c r="R1745" i="2"/>
  <c r="R1753" i="2"/>
  <c r="R1761" i="2"/>
  <c r="R1769" i="2"/>
  <c r="R1777" i="2"/>
  <c r="R1785" i="2"/>
  <c r="R1793" i="2"/>
  <c r="R1801" i="2"/>
  <c r="R1809" i="2"/>
  <c r="R1817" i="2"/>
  <c r="R1825" i="2"/>
  <c r="R1833" i="2"/>
  <c r="R1841" i="2"/>
  <c r="R1849" i="2"/>
  <c r="R1857" i="2"/>
  <c r="R1865" i="2"/>
  <c r="R1873" i="2"/>
  <c r="R1881" i="2"/>
  <c r="R1889" i="2"/>
  <c r="R1897" i="2"/>
  <c r="R1905" i="2"/>
  <c r="R1913" i="2"/>
  <c r="R1921" i="2"/>
  <c r="R1929" i="2"/>
  <c r="R1937" i="2"/>
  <c r="R1945" i="2"/>
  <c r="R1953" i="2"/>
  <c r="R1961" i="2"/>
  <c r="R1969" i="2"/>
  <c r="R1977" i="2"/>
  <c r="R1985" i="2"/>
  <c r="R1993" i="2"/>
  <c r="R2001" i="2"/>
  <c r="R2009" i="2"/>
  <c r="R213" i="2"/>
  <c r="R424" i="2"/>
  <c r="R592" i="2"/>
  <c r="R714" i="2"/>
  <c r="R772" i="2"/>
  <c r="R835" i="2"/>
  <c r="R883" i="2"/>
  <c r="R946" i="2"/>
  <c r="R1004" i="2"/>
  <c r="R1052" i="2"/>
  <c r="R1115" i="2"/>
  <c r="R1164" i="2"/>
  <c r="R1199" i="2"/>
  <c r="R1222" i="2"/>
  <c r="R1245" i="2"/>
  <c r="R1263" i="2"/>
  <c r="R1286" i="2"/>
  <c r="R1309" i="2"/>
  <c r="R1327" i="2"/>
  <c r="R1350" i="2"/>
  <c r="R1373" i="2"/>
  <c r="R1391" i="2"/>
  <c r="R1414" i="2"/>
  <c r="R1430" i="2"/>
  <c r="R1446" i="2"/>
  <c r="R1462" i="2"/>
  <c r="R1478" i="2"/>
  <c r="R1494" i="2"/>
  <c r="R1509" i="2"/>
  <c r="R1522" i="2"/>
  <c r="R1534" i="2"/>
  <c r="R1548" i="2"/>
  <c r="R1559" i="2"/>
  <c r="R1573" i="2"/>
  <c r="R1586" i="2"/>
  <c r="R1598" i="2"/>
  <c r="R1612" i="2"/>
  <c r="R1622" i="2"/>
  <c r="R1633" i="2"/>
  <c r="R1642" i="2"/>
  <c r="R1650" i="2"/>
  <c r="R1658" i="2"/>
  <c r="R1666" i="2"/>
  <c r="R1674" i="2"/>
  <c r="R1682" i="2"/>
  <c r="R1690" i="2"/>
  <c r="R1698" i="2"/>
  <c r="R1706" i="2"/>
  <c r="R1714" i="2"/>
  <c r="R1722" i="2"/>
  <c r="R1730" i="2"/>
  <c r="R1738" i="2"/>
  <c r="R1746" i="2"/>
  <c r="R1754" i="2"/>
  <c r="R1762" i="2"/>
  <c r="R1770" i="2"/>
  <c r="R1778" i="2"/>
  <c r="R1786" i="2"/>
  <c r="R1794" i="2"/>
  <c r="R1802" i="2"/>
  <c r="R300" i="2"/>
  <c r="R428" i="2"/>
  <c r="R596" i="2"/>
  <c r="R730" i="2"/>
  <c r="R778" i="2"/>
  <c r="R836" i="2"/>
  <c r="R899" i="2"/>
  <c r="R947" i="2"/>
  <c r="R1010" i="2"/>
  <c r="R1068" i="2"/>
  <c r="R1116" i="2"/>
  <c r="R1168" i="2"/>
  <c r="R1205" i="2"/>
  <c r="R1223" i="2"/>
  <c r="R1246" i="2"/>
  <c r="R1269" i="2"/>
  <c r="R1287" i="2"/>
  <c r="R1310" i="2"/>
  <c r="R1333" i="2"/>
  <c r="R1351" i="2"/>
  <c r="R1374" i="2"/>
  <c r="R1397" i="2"/>
  <c r="R1415" i="2"/>
  <c r="R1431" i="2"/>
  <c r="R1447" i="2"/>
  <c r="R1463" i="2"/>
  <c r="R1479" i="2"/>
  <c r="R1495" i="2"/>
  <c r="R1510" i="2"/>
  <c r="R1524" i="2"/>
  <c r="R1535" i="2"/>
  <c r="R1549" i="2"/>
  <c r="R1562" i="2"/>
  <c r="R1574" i="2"/>
  <c r="R1588" i="2"/>
  <c r="R1599" i="2"/>
  <c r="R1613" i="2"/>
  <c r="R1623" i="2"/>
  <c r="R1634" i="2"/>
  <c r="R1643" i="2"/>
  <c r="R1651" i="2"/>
  <c r="R1659" i="2"/>
  <c r="R1667" i="2"/>
  <c r="R1675" i="2"/>
  <c r="R1683" i="2"/>
  <c r="R1691" i="2"/>
  <c r="R1699" i="2"/>
  <c r="R1707" i="2"/>
  <c r="R1715" i="2"/>
  <c r="R1723" i="2"/>
  <c r="R1731" i="2"/>
  <c r="R1739" i="2"/>
  <c r="R1747" i="2"/>
  <c r="R1755" i="2"/>
  <c r="R1763" i="2"/>
  <c r="R1771" i="2"/>
  <c r="R1779" i="2"/>
  <c r="R1787" i="2"/>
  <c r="R1795" i="2"/>
  <c r="R1803" i="2"/>
  <c r="R1811" i="2"/>
  <c r="R1819" i="2"/>
  <c r="R1827" i="2"/>
  <c r="R1835" i="2"/>
  <c r="R1843" i="2"/>
  <c r="R1851" i="2"/>
  <c r="R1859" i="2"/>
  <c r="R1867" i="2"/>
  <c r="R1875" i="2"/>
  <c r="R1883" i="2"/>
  <c r="R1891" i="2"/>
  <c r="R1899" i="2"/>
  <c r="R1907" i="2"/>
  <c r="R1915" i="2"/>
  <c r="R316" i="2"/>
  <c r="R469" i="2"/>
  <c r="R597" i="2"/>
  <c r="R731" i="2"/>
  <c r="R794" i="2"/>
  <c r="R842" i="2"/>
  <c r="R900" i="2"/>
  <c r="R963" i="2"/>
  <c r="R1011" i="2"/>
  <c r="R1074" i="2"/>
  <c r="R1132" i="2"/>
  <c r="R1170" i="2"/>
  <c r="R1206" i="2"/>
  <c r="R1229" i="2"/>
  <c r="R1247" i="2"/>
  <c r="R1270" i="2"/>
  <c r="R1293" i="2"/>
  <c r="R1311" i="2"/>
  <c r="R1334" i="2"/>
  <c r="R1357" i="2"/>
  <c r="R1375" i="2"/>
  <c r="R1398" i="2"/>
  <c r="R1418" i="2"/>
  <c r="R1434" i="2"/>
  <c r="R1450" i="2"/>
  <c r="R1466" i="2"/>
  <c r="R1482" i="2"/>
  <c r="R1498" i="2"/>
  <c r="R1511" i="2"/>
  <c r="R1525" i="2"/>
  <c r="R1538" i="2"/>
  <c r="R1550" i="2"/>
  <c r="R1564" i="2"/>
  <c r="R1575" i="2"/>
  <c r="R1589" i="2"/>
  <c r="R1602" i="2"/>
  <c r="R1614" i="2"/>
  <c r="R1626" i="2"/>
  <c r="R1635" i="2"/>
  <c r="R1644" i="2"/>
  <c r="R1652" i="2"/>
  <c r="R1660" i="2"/>
  <c r="R1668" i="2"/>
  <c r="R1676" i="2"/>
  <c r="R1684" i="2"/>
  <c r="R1692" i="2"/>
  <c r="R1700" i="2"/>
  <c r="R1708" i="2"/>
  <c r="R1716" i="2"/>
  <c r="R1724" i="2"/>
  <c r="R1732" i="2"/>
  <c r="R1740" i="2"/>
  <c r="R1748" i="2"/>
  <c r="R1756" i="2"/>
  <c r="R1764" i="2"/>
  <c r="R1772" i="2"/>
  <c r="R1780" i="2"/>
  <c r="R1788" i="2"/>
  <c r="R1796" i="2"/>
  <c r="R1804" i="2"/>
  <c r="R1812" i="2"/>
  <c r="R1820" i="2"/>
  <c r="R1828" i="2"/>
  <c r="R1836" i="2"/>
  <c r="R1844" i="2"/>
  <c r="R1852" i="2"/>
  <c r="R1860" i="2"/>
  <c r="R1868" i="2"/>
  <c r="R1876" i="2"/>
  <c r="R1884" i="2"/>
  <c r="R1892" i="2"/>
  <c r="R1900" i="2"/>
  <c r="R1908" i="2"/>
  <c r="R1916" i="2"/>
  <c r="R317" i="2"/>
  <c r="R485" i="2"/>
  <c r="R640" i="2"/>
  <c r="R732" i="2"/>
  <c r="R795" i="2"/>
  <c r="R858" i="2"/>
  <c r="R906" i="2"/>
  <c r="R964" i="2"/>
  <c r="R1027" i="2"/>
  <c r="R1075" i="2"/>
  <c r="R1136" i="2"/>
  <c r="R1180" i="2"/>
  <c r="R1207" i="2"/>
  <c r="R1230" i="2"/>
  <c r="R1253" i="2"/>
  <c r="R1271" i="2"/>
  <c r="R1294" i="2"/>
  <c r="R1317" i="2"/>
  <c r="R1335" i="2"/>
  <c r="R1358" i="2"/>
  <c r="R1381" i="2"/>
  <c r="R1399" i="2"/>
  <c r="R1421" i="2"/>
  <c r="R1437" i="2"/>
  <c r="R1453" i="2"/>
  <c r="R1469" i="2"/>
  <c r="R1485" i="2"/>
  <c r="R1501" i="2"/>
  <c r="R1514" i="2"/>
  <c r="R1526" i="2"/>
  <c r="R1540" i="2"/>
  <c r="R1551" i="2"/>
  <c r="R1565" i="2"/>
  <c r="R1578" i="2"/>
  <c r="R1590" i="2"/>
  <c r="R1604" i="2"/>
  <c r="R1615" i="2"/>
  <c r="R1627" i="2"/>
  <c r="R1636" i="2"/>
  <c r="R1645" i="2"/>
  <c r="R1653" i="2"/>
  <c r="R1661" i="2"/>
  <c r="R1669" i="2"/>
  <c r="R1677" i="2"/>
  <c r="R1685" i="2"/>
  <c r="R1693" i="2"/>
  <c r="R1701" i="2"/>
  <c r="R1709" i="2"/>
  <c r="R1717" i="2"/>
  <c r="R1725" i="2"/>
  <c r="R1733" i="2"/>
  <c r="R1741" i="2"/>
  <c r="R1749" i="2"/>
  <c r="R1757" i="2"/>
  <c r="R1765" i="2"/>
  <c r="R1773" i="2"/>
  <c r="R1781" i="2"/>
  <c r="R1789" i="2"/>
  <c r="R1797" i="2"/>
  <c r="R1805" i="2"/>
  <c r="R1813" i="2"/>
  <c r="R1821" i="2"/>
  <c r="R1829" i="2"/>
  <c r="R1837" i="2"/>
  <c r="R1845" i="2"/>
  <c r="R1853" i="2"/>
  <c r="R1861" i="2"/>
  <c r="R1869" i="2"/>
  <c r="R1877" i="2"/>
  <c r="R1885" i="2"/>
  <c r="R1893" i="2"/>
  <c r="R1901" i="2"/>
  <c r="R1909" i="2"/>
  <c r="R1917" i="2"/>
  <c r="R1925" i="2"/>
  <c r="R1933" i="2"/>
  <c r="R1941" i="2"/>
  <c r="R1949" i="2"/>
  <c r="R1957" i="2"/>
  <c r="R1965" i="2"/>
  <c r="R1973" i="2"/>
  <c r="R1981" i="2"/>
  <c r="R1989" i="2"/>
  <c r="R1997" i="2"/>
  <c r="R2005" i="2"/>
  <c r="R360" i="2"/>
  <c r="R488" i="2"/>
  <c r="R656" i="2"/>
  <c r="R748" i="2"/>
  <c r="R796" i="2"/>
  <c r="R859" i="2"/>
  <c r="R922" i="2"/>
  <c r="R970" i="2"/>
  <c r="R1028" i="2"/>
  <c r="R1091" i="2"/>
  <c r="R1138" i="2"/>
  <c r="R1184" i="2"/>
  <c r="R1213" i="2"/>
  <c r="R1231" i="2"/>
  <c r="R364" i="2"/>
  <c r="R812" i="2"/>
  <c r="R1034" i="2"/>
  <c r="R1214" i="2"/>
  <c r="R1278" i="2"/>
  <c r="R1341" i="2"/>
  <c r="R1389" i="2"/>
  <c r="R1439" i="2"/>
  <c r="R1486" i="2"/>
  <c r="R1518" i="2"/>
  <c r="R1556" i="2"/>
  <c r="R1591" i="2"/>
  <c r="R1620" i="2"/>
  <c r="R1647" i="2"/>
  <c r="R1670" i="2"/>
  <c r="R1688" i="2"/>
  <c r="R1711" i="2"/>
  <c r="R1734" i="2"/>
  <c r="R1752" i="2"/>
  <c r="R1775" i="2"/>
  <c r="R1798" i="2"/>
  <c r="R1815" i="2"/>
  <c r="R1831" i="2"/>
  <c r="R1847" i="2"/>
  <c r="R1863" i="2"/>
  <c r="R1879" i="2"/>
  <c r="R1895" i="2"/>
  <c r="R1911" i="2"/>
  <c r="R1924" i="2"/>
  <c r="R1935" i="2"/>
  <c r="R1946" i="2"/>
  <c r="R1956" i="2"/>
  <c r="R1967" i="2"/>
  <c r="R1978" i="2"/>
  <c r="R1988" i="2"/>
  <c r="R1999" i="2"/>
  <c r="R2010" i="2"/>
  <c r="R2018" i="2"/>
  <c r="R2026" i="2"/>
  <c r="R2034" i="2"/>
  <c r="R2042" i="2"/>
  <c r="R2050" i="2"/>
  <c r="R2058" i="2"/>
  <c r="R2066" i="2"/>
  <c r="R2074" i="2"/>
  <c r="R2082" i="2"/>
  <c r="R2090" i="2"/>
  <c r="R2098" i="2"/>
  <c r="R2106" i="2"/>
  <c r="R2114" i="2"/>
  <c r="R2122" i="2"/>
  <c r="R2130" i="2"/>
  <c r="R2138" i="2"/>
  <c r="R2146" i="2"/>
  <c r="R2154" i="2"/>
  <c r="R2162" i="2"/>
  <c r="R2170" i="2"/>
  <c r="R2178" i="2"/>
  <c r="R2186" i="2"/>
  <c r="R2194" i="2"/>
  <c r="R2202" i="2"/>
  <c r="R2210" i="2"/>
  <c r="R2218" i="2"/>
  <c r="R2226" i="2"/>
  <c r="R2234" i="2"/>
  <c r="R2242" i="2"/>
  <c r="R2250" i="2"/>
  <c r="R2258" i="2"/>
  <c r="R2266" i="2"/>
  <c r="R2274" i="2"/>
  <c r="R2282" i="2"/>
  <c r="R2290" i="2"/>
  <c r="R2298" i="2"/>
  <c r="R2306" i="2"/>
  <c r="R2314" i="2"/>
  <c r="R2322" i="2"/>
  <c r="R2330" i="2"/>
  <c r="R2338" i="2"/>
  <c r="R2346" i="2"/>
  <c r="R2354" i="2"/>
  <c r="R2362" i="2"/>
  <c r="R2370" i="2"/>
  <c r="R2378" i="2"/>
  <c r="R2386" i="2"/>
  <c r="R2394" i="2"/>
  <c r="R2402" i="2"/>
  <c r="R2410" i="2"/>
  <c r="R2418" i="2"/>
  <c r="R2426" i="2"/>
  <c r="R2434" i="2"/>
  <c r="R2442" i="2"/>
  <c r="R2450" i="2"/>
  <c r="R2458" i="2"/>
  <c r="R2466" i="2"/>
  <c r="R2474" i="2"/>
  <c r="R2482" i="2"/>
  <c r="R2490" i="2"/>
  <c r="R2498" i="2"/>
  <c r="R2506" i="2"/>
  <c r="R2514" i="2"/>
  <c r="R2522" i="2"/>
  <c r="R2530" i="2"/>
  <c r="R2538" i="2"/>
  <c r="R2546" i="2"/>
  <c r="R2554" i="2"/>
  <c r="R2562" i="2"/>
  <c r="R2570" i="2"/>
  <c r="R2578" i="2"/>
  <c r="R2586" i="2"/>
  <c r="R2594" i="2"/>
  <c r="R2602" i="2"/>
  <c r="R2610" i="2"/>
  <c r="R2618" i="2"/>
  <c r="R2626" i="2"/>
  <c r="R2634" i="2"/>
  <c r="R2642" i="2"/>
  <c r="R2650" i="2"/>
  <c r="R2658" i="2"/>
  <c r="R2666" i="2"/>
  <c r="R2674" i="2"/>
  <c r="R2682" i="2"/>
  <c r="R2690" i="2"/>
  <c r="R2698" i="2"/>
  <c r="R2706" i="2"/>
  <c r="R2714" i="2"/>
  <c r="R2722" i="2"/>
  <c r="R2730" i="2"/>
  <c r="R2738" i="2"/>
  <c r="R2746" i="2"/>
  <c r="R2754" i="2"/>
  <c r="R2762" i="2"/>
  <c r="R2770" i="2"/>
  <c r="R2778" i="2"/>
  <c r="R2786" i="2"/>
  <c r="R2794" i="2"/>
  <c r="R2802" i="2"/>
  <c r="R2810" i="2"/>
  <c r="R2818" i="2"/>
  <c r="R2826" i="2"/>
  <c r="R2834" i="2"/>
  <c r="R2842" i="2"/>
  <c r="R2850" i="2"/>
  <c r="R2858" i="2"/>
  <c r="R2866" i="2"/>
  <c r="R2874" i="2"/>
  <c r="R2882" i="2"/>
  <c r="R2890" i="2"/>
  <c r="R2898" i="2"/>
  <c r="R2906" i="2"/>
  <c r="R2914" i="2"/>
  <c r="R2922" i="2"/>
  <c r="R2930" i="2"/>
  <c r="R2938" i="2"/>
  <c r="R2946" i="2"/>
  <c r="R2954" i="2"/>
  <c r="R2962" i="2"/>
  <c r="R2970" i="2"/>
  <c r="R2978" i="2"/>
  <c r="R2986" i="2"/>
  <c r="R2994" i="2"/>
  <c r="R3002" i="2"/>
  <c r="R380" i="2"/>
  <c r="R818" i="2"/>
  <c r="R1050" i="2"/>
  <c r="R1215" i="2"/>
  <c r="R1279" i="2"/>
  <c r="R1342" i="2"/>
  <c r="R1405" i="2"/>
  <c r="R1442" i="2"/>
  <c r="R1487" i="2"/>
  <c r="R1527" i="2"/>
  <c r="R1557" i="2"/>
  <c r="R1594" i="2"/>
  <c r="R1628" i="2"/>
  <c r="R1648" i="2"/>
  <c r="R1671" i="2"/>
  <c r="R1694" i="2"/>
  <c r="R1712" i="2"/>
  <c r="R1735" i="2"/>
  <c r="R1758" i="2"/>
  <c r="R1776" i="2"/>
  <c r="R1799" i="2"/>
  <c r="R1816" i="2"/>
  <c r="R1832" i="2"/>
  <c r="R1848" i="2"/>
  <c r="R1864" i="2"/>
  <c r="R1880" i="2"/>
  <c r="R1896" i="2"/>
  <c r="R1912" i="2"/>
  <c r="R1926" i="2"/>
  <c r="R1936" i="2"/>
  <c r="R1947" i="2"/>
  <c r="R1958" i="2"/>
  <c r="R1968" i="2"/>
  <c r="R1979" i="2"/>
  <c r="R1990" i="2"/>
  <c r="R2000" i="2"/>
  <c r="R2011" i="2"/>
  <c r="R2019" i="2"/>
  <c r="R2027" i="2"/>
  <c r="R2035" i="2"/>
  <c r="R2043" i="2"/>
  <c r="R2051" i="2"/>
  <c r="R2059" i="2"/>
  <c r="R2067" i="2"/>
  <c r="R2075" i="2"/>
  <c r="R2083" i="2"/>
  <c r="R2091" i="2"/>
  <c r="R2099" i="2"/>
  <c r="R2107" i="2"/>
  <c r="R2115" i="2"/>
  <c r="R2123" i="2"/>
  <c r="R2131" i="2"/>
  <c r="R2139" i="2"/>
  <c r="R2147" i="2"/>
  <c r="R2155" i="2"/>
  <c r="R2163" i="2"/>
  <c r="R2171" i="2"/>
  <c r="R2179" i="2"/>
  <c r="R2187" i="2"/>
  <c r="R2195" i="2"/>
  <c r="R2203" i="2"/>
  <c r="R2211" i="2"/>
  <c r="R2219" i="2"/>
  <c r="R2227" i="2"/>
  <c r="R2235" i="2"/>
  <c r="R2243" i="2"/>
  <c r="R2251" i="2"/>
  <c r="R2259" i="2"/>
  <c r="R2267" i="2"/>
  <c r="R2275" i="2"/>
  <c r="R2283" i="2"/>
  <c r="R2291" i="2"/>
  <c r="R2299" i="2"/>
  <c r="R2307" i="2"/>
  <c r="R2315" i="2"/>
  <c r="R2323" i="2"/>
  <c r="R2331" i="2"/>
  <c r="R2339" i="2"/>
  <c r="R2347" i="2"/>
  <c r="R2355" i="2"/>
  <c r="R2363" i="2"/>
  <c r="R2371" i="2"/>
  <c r="R2379" i="2"/>
  <c r="R2387" i="2"/>
  <c r="R2395" i="2"/>
  <c r="R2403" i="2"/>
  <c r="R2411" i="2"/>
  <c r="R2419" i="2"/>
  <c r="R2427" i="2"/>
  <c r="R2435" i="2"/>
  <c r="R2443" i="2"/>
  <c r="R2451" i="2"/>
  <c r="R2459" i="2"/>
  <c r="R2467" i="2"/>
  <c r="R2475" i="2"/>
  <c r="R2483" i="2"/>
  <c r="R2491" i="2"/>
  <c r="R2499" i="2"/>
  <c r="R2507" i="2"/>
  <c r="R2515" i="2"/>
  <c r="R2523" i="2"/>
  <c r="R2531" i="2"/>
  <c r="R2539" i="2"/>
  <c r="R2547" i="2"/>
  <c r="R2555" i="2"/>
  <c r="R2563" i="2"/>
  <c r="R2571" i="2"/>
  <c r="R2579" i="2"/>
  <c r="R2587" i="2"/>
  <c r="R2595" i="2"/>
  <c r="R2603" i="2"/>
  <c r="R2611" i="2"/>
  <c r="R2619" i="2"/>
  <c r="R2627" i="2"/>
  <c r="R2635" i="2"/>
  <c r="R2643" i="2"/>
  <c r="R2651" i="2"/>
  <c r="R2659" i="2"/>
  <c r="R2667" i="2"/>
  <c r="R2675" i="2"/>
  <c r="R2683" i="2"/>
  <c r="R2691" i="2"/>
  <c r="R2699" i="2"/>
  <c r="R2707" i="2"/>
  <c r="R2715" i="2"/>
  <c r="R2723" i="2"/>
  <c r="R2731" i="2"/>
  <c r="R2739" i="2"/>
  <c r="R2747" i="2"/>
  <c r="R2755" i="2"/>
  <c r="R2763" i="2"/>
  <c r="R2771" i="2"/>
  <c r="R2779" i="2"/>
  <c r="R2787" i="2"/>
  <c r="R2795" i="2"/>
  <c r="R2803" i="2"/>
  <c r="R2811" i="2"/>
  <c r="R2819" i="2"/>
  <c r="R2827" i="2"/>
  <c r="R2835" i="2"/>
  <c r="R2843" i="2"/>
  <c r="R2851" i="2"/>
  <c r="R2859" i="2"/>
  <c r="R2867" i="2"/>
  <c r="R2875" i="2"/>
  <c r="R2883" i="2"/>
  <c r="R2891" i="2"/>
  <c r="R2899" i="2"/>
  <c r="R2907" i="2"/>
  <c r="R2915" i="2"/>
  <c r="R2923" i="2"/>
  <c r="R2931" i="2"/>
  <c r="R2939" i="2"/>
  <c r="R2947" i="2"/>
  <c r="R2955" i="2"/>
  <c r="R2963" i="2"/>
  <c r="R2971" i="2"/>
  <c r="R2979" i="2"/>
  <c r="R2987" i="2"/>
  <c r="R2995" i="2"/>
  <c r="R3003" i="2"/>
  <c r="R532" i="2"/>
  <c r="R860" i="2"/>
  <c r="R1092" i="2"/>
  <c r="R1237" i="2"/>
  <c r="R1295" i="2"/>
  <c r="R1343" i="2"/>
  <c r="R1406" i="2"/>
  <c r="R1454" i="2"/>
  <c r="R1490" i="2"/>
  <c r="R1530" i="2"/>
  <c r="R1566" i="2"/>
  <c r="R1596" i="2"/>
  <c r="R1629" i="2"/>
  <c r="R1654" i="2"/>
  <c r="R1672" i="2"/>
  <c r="R1695" i="2"/>
  <c r="R1718" i="2"/>
  <c r="R1736" i="2"/>
  <c r="R1759" i="2"/>
  <c r="R1782" i="2"/>
  <c r="R1800" i="2"/>
  <c r="R1818" i="2"/>
  <c r="R1834" i="2"/>
  <c r="R1850" i="2"/>
  <c r="R1866" i="2"/>
  <c r="R1882" i="2"/>
  <c r="R1898" i="2"/>
  <c r="R1914" i="2"/>
  <c r="R1927" i="2"/>
  <c r="R1938" i="2"/>
  <c r="R1948" i="2"/>
  <c r="R1959" i="2"/>
  <c r="R1970" i="2"/>
  <c r="R1980" i="2"/>
  <c r="R1991" i="2"/>
  <c r="R2002" i="2"/>
  <c r="R2012" i="2"/>
  <c r="R2020" i="2"/>
  <c r="R2028" i="2"/>
  <c r="R2036" i="2"/>
  <c r="R2044" i="2"/>
  <c r="R2052" i="2"/>
  <c r="R2060" i="2"/>
  <c r="R2068" i="2"/>
  <c r="R2076" i="2"/>
  <c r="R2084" i="2"/>
  <c r="R2092" i="2"/>
  <c r="R2100" i="2"/>
  <c r="R2108" i="2"/>
  <c r="R2116" i="2"/>
  <c r="R2124" i="2"/>
  <c r="R2132" i="2"/>
  <c r="R2140" i="2"/>
  <c r="R2148" i="2"/>
  <c r="R2156" i="2"/>
  <c r="R2164" i="2"/>
  <c r="R2172" i="2"/>
  <c r="R2180" i="2"/>
  <c r="R2188" i="2"/>
  <c r="R2196" i="2"/>
  <c r="R2204" i="2"/>
  <c r="R2212" i="2"/>
  <c r="R2220" i="2"/>
  <c r="R2228" i="2"/>
  <c r="R2236" i="2"/>
  <c r="R2244" i="2"/>
  <c r="R2252" i="2"/>
  <c r="R2260" i="2"/>
  <c r="R2268" i="2"/>
  <c r="R2276" i="2"/>
  <c r="R2284" i="2"/>
  <c r="R2292" i="2"/>
  <c r="R2300" i="2"/>
  <c r="R2308" i="2"/>
  <c r="R2316" i="2"/>
  <c r="R2324" i="2"/>
  <c r="R2332" i="2"/>
  <c r="R2340" i="2"/>
  <c r="R2348" i="2"/>
  <c r="R2356" i="2"/>
  <c r="R2364" i="2"/>
  <c r="R2372" i="2"/>
  <c r="R2380" i="2"/>
  <c r="R2388" i="2"/>
  <c r="R2396" i="2"/>
  <c r="R2404" i="2"/>
  <c r="R2412" i="2"/>
  <c r="R2420" i="2"/>
  <c r="R2428" i="2"/>
  <c r="R2436" i="2"/>
  <c r="R2444" i="2"/>
  <c r="R2452" i="2"/>
  <c r="R2460" i="2"/>
  <c r="R2468" i="2"/>
  <c r="R2476" i="2"/>
  <c r="R2484" i="2"/>
  <c r="R2492" i="2"/>
  <c r="R2500" i="2"/>
  <c r="R2508" i="2"/>
  <c r="R2516" i="2"/>
  <c r="R2524" i="2"/>
  <c r="R2532" i="2"/>
  <c r="R2540" i="2"/>
  <c r="R2548" i="2"/>
  <c r="R2556" i="2"/>
  <c r="R2564" i="2"/>
  <c r="R2572" i="2"/>
  <c r="R2580" i="2"/>
  <c r="R2588" i="2"/>
  <c r="R2596" i="2"/>
  <c r="R2604" i="2"/>
  <c r="R2612" i="2"/>
  <c r="R2620" i="2"/>
  <c r="R2628" i="2"/>
  <c r="R2636" i="2"/>
  <c r="R2644" i="2"/>
  <c r="R2652" i="2"/>
  <c r="R2660" i="2"/>
  <c r="R2668" i="2"/>
  <c r="R2676" i="2"/>
  <c r="R2684" i="2"/>
  <c r="R2692" i="2"/>
  <c r="R2700" i="2"/>
  <c r="R2708" i="2"/>
  <c r="R2716" i="2"/>
  <c r="R2724" i="2"/>
  <c r="R2732" i="2"/>
  <c r="R2740" i="2"/>
  <c r="R2748" i="2"/>
  <c r="R2756" i="2"/>
  <c r="R2764" i="2"/>
  <c r="R2772" i="2"/>
  <c r="R2780" i="2"/>
  <c r="R2788" i="2"/>
  <c r="R2796" i="2"/>
  <c r="R2804" i="2"/>
  <c r="R2812" i="2"/>
  <c r="R2820" i="2"/>
  <c r="R2828" i="2"/>
  <c r="R2836" i="2"/>
  <c r="R2844" i="2"/>
  <c r="R2852" i="2"/>
  <c r="R2860" i="2"/>
  <c r="R2868" i="2"/>
  <c r="R2876" i="2"/>
  <c r="R2884" i="2"/>
  <c r="R2892" i="2"/>
  <c r="R2900" i="2"/>
  <c r="R2908" i="2"/>
  <c r="R2916" i="2"/>
  <c r="R2924" i="2"/>
  <c r="R2932" i="2"/>
  <c r="R2940" i="2"/>
  <c r="R2948" i="2"/>
  <c r="R2956" i="2"/>
  <c r="R2964" i="2"/>
  <c r="R2972" i="2"/>
  <c r="R2980" i="2"/>
  <c r="R2988" i="2"/>
  <c r="R2996" i="2"/>
  <c r="R3004" i="2"/>
  <c r="R533" i="2"/>
  <c r="R876" i="2"/>
  <c r="R1098" i="2"/>
  <c r="R1238" i="2"/>
  <c r="R1301" i="2"/>
  <c r="R1359" i="2"/>
  <c r="R1407" i="2"/>
  <c r="R1455" i="2"/>
  <c r="R1502" i="2"/>
  <c r="R1532" i="2"/>
  <c r="R1567" i="2"/>
  <c r="R1605" i="2"/>
  <c r="R1630" i="2"/>
  <c r="R1655" i="2"/>
  <c r="R1678" i="2"/>
  <c r="R1696" i="2"/>
  <c r="R1719" i="2"/>
  <c r="R1742" i="2"/>
  <c r="R1760" i="2"/>
  <c r="R1783" i="2"/>
  <c r="R1806" i="2"/>
  <c r="R1822" i="2"/>
  <c r="R1838" i="2"/>
  <c r="R1854" i="2"/>
  <c r="R1870" i="2"/>
  <c r="R1886" i="2"/>
  <c r="R1902" i="2"/>
  <c r="R1918" i="2"/>
  <c r="R1928" i="2"/>
  <c r="R1939" i="2"/>
  <c r="R1950" i="2"/>
  <c r="R1960" i="2"/>
  <c r="R1971" i="2"/>
  <c r="R1982" i="2"/>
  <c r="R1992" i="2"/>
  <c r="R2003" i="2"/>
  <c r="R2013" i="2"/>
  <c r="R2021" i="2"/>
  <c r="R2029" i="2"/>
  <c r="R2037" i="2"/>
  <c r="R2045" i="2"/>
  <c r="R2053" i="2"/>
  <c r="R2061" i="2"/>
  <c r="R2069" i="2"/>
  <c r="R2077" i="2"/>
  <c r="R2085" i="2"/>
  <c r="R2093" i="2"/>
  <c r="R2101" i="2"/>
  <c r="R2109" i="2"/>
  <c r="R2117" i="2"/>
  <c r="R2125" i="2"/>
  <c r="R2133" i="2"/>
  <c r="R2141" i="2"/>
  <c r="R2149" i="2"/>
  <c r="R2157" i="2"/>
  <c r="R2165" i="2"/>
  <c r="R2173" i="2"/>
  <c r="R2181" i="2"/>
  <c r="R2189" i="2"/>
  <c r="R2197" i="2"/>
  <c r="R2205" i="2"/>
  <c r="R2213" i="2"/>
  <c r="R2221" i="2"/>
  <c r="R2229" i="2"/>
  <c r="R2237" i="2"/>
  <c r="R2245" i="2"/>
  <c r="R2253" i="2"/>
  <c r="R2261" i="2"/>
  <c r="R2269" i="2"/>
  <c r="R2277" i="2"/>
  <c r="R2285" i="2"/>
  <c r="R2293" i="2"/>
  <c r="R2301" i="2"/>
  <c r="R2309" i="2"/>
  <c r="R2317" i="2"/>
  <c r="R2325" i="2"/>
  <c r="R2333" i="2"/>
  <c r="R2341" i="2"/>
  <c r="R2349" i="2"/>
  <c r="R2357" i="2"/>
  <c r="R2365" i="2"/>
  <c r="R2373" i="2"/>
  <c r="R2381" i="2"/>
  <c r="R2389" i="2"/>
  <c r="R2397" i="2"/>
  <c r="R2405" i="2"/>
  <c r="R2413" i="2"/>
  <c r="R2421" i="2"/>
  <c r="R2429" i="2"/>
  <c r="R2437" i="2"/>
  <c r="R2445" i="2"/>
  <c r="R2453" i="2"/>
  <c r="R2461" i="2"/>
  <c r="R2469" i="2"/>
  <c r="R2477" i="2"/>
  <c r="R2485" i="2"/>
  <c r="R2493" i="2"/>
  <c r="R2501" i="2"/>
  <c r="R2509" i="2"/>
  <c r="R2517" i="2"/>
  <c r="R2525" i="2"/>
  <c r="R2533" i="2"/>
  <c r="R2541" i="2"/>
  <c r="R2549" i="2"/>
  <c r="R2557" i="2"/>
  <c r="R2565" i="2"/>
  <c r="R2573" i="2"/>
  <c r="R2581" i="2"/>
  <c r="R2589" i="2"/>
  <c r="R2597" i="2"/>
  <c r="R2605" i="2"/>
  <c r="R2613" i="2"/>
  <c r="R2621" i="2"/>
  <c r="R2629" i="2"/>
  <c r="R2637" i="2"/>
  <c r="R2645" i="2"/>
  <c r="R2653" i="2"/>
  <c r="R2661" i="2"/>
  <c r="R2669" i="2"/>
  <c r="R2677" i="2"/>
  <c r="R2685" i="2"/>
  <c r="R2693" i="2"/>
  <c r="R2701" i="2"/>
  <c r="R2709" i="2"/>
  <c r="R2717" i="2"/>
  <c r="R2725" i="2"/>
  <c r="R2733" i="2"/>
  <c r="R2741" i="2"/>
  <c r="R2749" i="2"/>
  <c r="R2757" i="2"/>
  <c r="R2765" i="2"/>
  <c r="R2773" i="2"/>
  <c r="R2781" i="2"/>
  <c r="R2789" i="2"/>
  <c r="R2797" i="2"/>
  <c r="R2805" i="2"/>
  <c r="R2813" i="2"/>
  <c r="R2821" i="2"/>
  <c r="R2829" i="2"/>
  <c r="R2837" i="2"/>
  <c r="R2845" i="2"/>
  <c r="R2853" i="2"/>
  <c r="R2861" i="2"/>
  <c r="R2869" i="2"/>
  <c r="R2877" i="2"/>
  <c r="R2885" i="2"/>
  <c r="R2893" i="2"/>
  <c r="R2901" i="2"/>
  <c r="R2909" i="2"/>
  <c r="R2917" i="2"/>
  <c r="R2925" i="2"/>
  <c r="R2933" i="2"/>
  <c r="R2941" i="2"/>
  <c r="R2949" i="2"/>
  <c r="R2957" i="2"/>
  <c r="R2965" i="2"/>
  <c r="R2973" i="2"/>
  <c r="R2981" i="2"/>
  <c r="R2989" i="2"/>
  <c r="R2997" i="2"/>
  <c r="R3005" i="2"/>
  <c r="R701" i="2"/>
  <c r="R924" i="2"/>
  <c r="R1152" i="2"/>
  <c r="R1255" i="2"/>
  <c r="R1318" i="2"/>
  <c r="R1366" i="2"/>
  <c r="R1423" i="2"/>
  <c r="R1470" i="2"/>
  <c r="R1506" i="2"/>
  <c r="R660" i="2"/>
  <c r="R923" i="2"/>
  <c r="R1148" i="2"/>
  <c r="R1254" i="2"/>
  <c r="R1302" i="2"/>
  <c r="R1365" i="2"/>
  <c r="R1422" i="2"/>
  <c r="R1458" i="2"/>
  <c r="R1503" i="2"/>
  <c r="R1541" i="2"/>
  <c r="R1570" i="2"/>
  <c r="R1606" i="2"/>
  <c r="R1637" i="2"/>
  <c r="R1656" i="2"/>
  <c r="R1679" i="2"/>
  <c r="R1702" i="2"/>
  <c r="R1720" i="2"/>
  <c r="R1743" i="2"/>
  <c r="R1766" i="2"/>
  <c r="R1784" i="2"/>
  <c r="R1807" i="2"/>
  <c r="R1823" i="2"/>
  <c r="R1839" i="2"/>
  <c r="R1855" i="2"/>
  <c r="R1871" i="2"/>
  <c r="R1887" i="2"/>
  <c r="R1903" i="2"/>
  <c r="R1919" i="2"/>
  <c r="R1930" i="2"/>
  <c r="R1940" i="2"/>
  <c r="R1951" i="2"/>
  <c r="R1962" i="2"/>
  <c r="R1972" i="2"/>
  <c r="R1983" i="2"/>
  <c r="R1994" i="2"/>
  <c r="R2004" i="2"/>
  <c r="R2014" i="2"/>
  <c r="R2022" i="2"/>
  <c r="R2030" i="2"/>
  <c r="R2038" i="2"/>
  <c r="R2046" i="2"/>
  <c r="R2054" i="2"/>
  <c r="R2062" i="2"/>
  <c r="R2070" i="2"/>
  <c r="R2078" i="2"/>
  <c r="R2086" i="2"/>
  <c r="R2094" i="2"/>
  <c r="R2102" i="2"/>
  <c r="R2110" i="2"/>
  <c r="R2118" i="2"/>
  <c r="R2126" i="2"/>
  <c r="R2134" i="2"/>
  <c r="R2142" i="2"/>
  <c r="R2150" i="2"/>
  <c r="R2158" i="2"/>
  <c r="R2166" i="2"/>
  <c r="R2174" i="2"/>
  <c r="R2182" i="2"/>
  <c r="R2190" i="2"/>
  <c r="R2198" i="2"/>
  <c r="R2206" i="2"/>
  <c r="R2214" i="2"/>
  <c r="R2222" i="2"/>
  <c r="R2230" i="2"/>
  <c r="R2238" i="2"/>
  <c r="R2246" i="2"/>
  <c r="R2254" i="2"/>
  <c r="R2262" i="2"/>
  <c r="R2270" i="2"/>
  <c r="R2278" i="2"/>
  <c r="R2286" i="2"/>
  <c r="R2294" i="2"/>
  <c r="R2302" i="2"/>
  <c r="R2310" i="2"/>
  <c r="R2318" i="2"/>
  <c r="R2326" i="2"/>
  <c r="R2334" i="2"/>
  <c r="R2342" i="2"/>
  <c r="R2350" i="2"/>
  <c r="R2358" i="2"/>
  <c r="R2366" i="2"/>
  <c r="R2374" i="2"/>
  <c r="R2382" i="2"/>
  <c r="R2390" i="2"/>
  <c r="R2398" i="2"/>
  <c r="R2406" i="2"/>
  <c r="R2414" i="2"/>
  <c r="R2422" i="2"/>
  <c r="R2430" i="2"/>
  <c r="R2438" i="2"/>
  <c r="R2446" i="2"/>
  <c r="R2454" i="2"/>
  <c r="R2462" i="2"/>
  <c r="R2470" i="2"/>
  <c r="R2478" i="2"/>
  <c r="R2486" i="2"/>
  <c r="R2494" i="2"/>
  <c r="R2502" i="2"/>
  <c r="R2510" i="2"/>
  <c r="R2518" i="2"/>
  <c r="R2526" i="2"/>
  <c r="R2534" i="2"/>
  <c r="R2542" i="2"/>
  <c r="R2550" i="2"/>
  <c r="R2558" i="2"/>
  <c r="R2566" i="2"/>
  <c r="R2574" i="2"/>
  <c r="R2582" i="2"/>
  <c r="R2590" i="2"/>
  <c r="R2598" i="2"/>
  <c r="R2606" i="2"/>
  <c r="R2614" i="2"/>
  <c r="R2622" i="2"/>
  <c r="R2630" i="2"/>
  <c r="R2638" i="2"/>
  <c r="R2646" i="2"/>
  <c r="R2654" i="2"/>
  <c r="R2662" i="2"/>
  <c r="R2670" i="2"/>
  <c r="R2678" i="2"/>
  <c r="R2686" i="2"/>
  <c r="R2694" i="2"/>
  <c r="R2702" i="2"/>
  <c r="R2710" i="2"/>
  <c r="R2718" i="2"/>
  <c r="R2726" i="2"/>
  <c r="R2734" i="2"/>
  <c r="R2742" i="2"/>
  <c r="R2750" i="2"/>
  <c r="R2758" i="2"/>
  <c r="R2766" i="2"/>
  <c r="R2774" i="2"/>
  <c r="R2782" i="2"/>
  <c r="R2790" i="2"/>
  <c r="R2798" i="2"/>
  <c r="R2806" i="2"/>
  <c r="R2814" i="2"/>
  <c r="R2822" i="2"/>
  <c r="R2830" i="2"/>
  <c r="R2838" i="2"/>
  <c r="R2846" i="2"/>
  <c r="R2854" i="2"/>
  <c r="R2862" i="2"/>
  <c r="R2870" i="2"/>
  <c r="R2878" i="2"/>
  <c r="R2886" i="2"/>
  <c r="R2894" i="2"/>
  <c r="R2902" i="2"/>
  <c r="R2910" i="2"/>
  <c r="R2918" i="2"/>
  <c r="R2926" i="2"/>
  <c r="R2934" i="2"/>
  <c r="R2942" i="2"/>
  <c r="R2950" i="2"/>
  <c r="R2958" i="2"/>
  <c r="R2966" i="2"/>
  <c r="R2974" i="2"/>
  <c r="R2982" i="2"/>
  <c r="R2990" i="2"/>
  <c r="R2998" i="2"/>
  <c r="R3006" i="2"/>
  <c r="R755" i="2"/>
  <c r="R987" i="2"/>
  <c r="R1196" i="2"/>
  <c r="R1277" i="2"/>
  <c r="R1325" i="2"/>
  <c r="R1383" i="2"/>
  <c r="R1438" i="2"/>
  <c r="R1474" i="2"/>
  <c r="R1517" i="2"/>
  <c r="R1554" i="2"/>
  <c r="R1582" i="2"/>
  <c r="R1619" i="2"/>
  <c r="R1646" i="2"/>
  <c r="R1664" i="2"/>
  <c r="R1687" i="2"/>
  <c r="R1710" i="2"/>
  <c r="R1728" i="2"/>
  <c r="R1751" i="2"/>
  <c r="R1774" i="2"/>
  <c r="R1792" i="2"/>
  <c r="R1814" i="2"/>
  <c r="R1830" i="2"/>
  <c r="R1846" i="2"/>
  <c r="R1862" i="2"/>
  <c r="R1878" i="2"/>
  <c r="R1894" i="2"/>
  <c r="R1910" i="2"/>
  <c r="R1923" i="2"/>
  <c r="R1934" i="2"/>
  <c r="R1944" i="2"/>
  <c r="R1955" i="2"/>
  <c r="R1966" i="2"/>
  <c r="R1976" i="2"/>
  <c r="R1987" i="2"/>
  <c r="R1998" i="2"/>
  <c r="R2008" i="2"/>
  <c r="R2017" i="2"/>
  <c r="R2025" i="2"/>
  <c r="R2033" i="2"/>
  <c r="R2041" i="2"/>
  <c r="R2049" i="2"/>
  <c r="R2057" i="2"/>
  <c r="R754" i="2"/>
  <c r="R1516" i="2"/>
  <c r="R1639" i="2"/>
  <c r="R1727" i="2"/>
  <c r="R1810" i="2"/>
  <c r="R1874" i="2"/>
  <c r="R1932" i="2"/>
  <c r="R1975" i="2"/>
  <c r="R2016" i="2"/>
  <c r="R2048" i="2"/>
  <c r="R2073" i="2"/>
  <c r="R2096" i="2"/>
  <c r="R2119" i="2"/>
  <c r="R2137" i="2"/>
  <c r="R2160" i="2"/>
  <c r="R2183" i="2"/>
  <c r="R2201" i="2"/>
  <c r="R2224" i="2"/>
  <c r="R2247" i="2"/>
  <c r="R2265" i="2"/>
  <c r="R2288" i="2"/>
  <c r="R2311" i="2"/>
  <c r="R2329" i="2"/>
  <c r="R2352" i="2"/>
  <c r="R2375" i="2"/>
  <c r="R2393" i="2"/>
  <c r="R2416" i="2"/>
  <c r="R2439" i="2"/>
  <c r="R2457" i="2"/>
  <c r="R2480" i="2"/>
  <c r="R2503" i="2"/>
  <c r="R2521" i="2"/>
  <c r="R2544" i="2"/>
  <c r="R2567" i="2"/>
  <c r="R2585" i="2"/>
  <c r="R2608" i="2"/>
  <c r="R2631" i="2"/>
  <c r="R2649" i="2"/>
  <c r="R2672" i="2"/>
  <c r="R2695" i="2"/>
  <c r="R2713" i="2"/>
  <c r="R2736" i="2"/>
  <c r="R2759" i="2"/>
  <c r="R2777" i="2"/>
  <c r="R2800" i="2"/>
  <c r="R2823" i="2"/>
  <c r="R2841" i="2"/>
  <c r="R2864" i="2"/>
  <c r="R2887" i="2"/>
  <c r="R2905" i="2"/>
  <c r="R2928" i="2"/>
  <c r="R2951" i="2"/>
  <c r="R2969" i="2"/>
  <c r="R2992" i="2"/>
  <c r="R986" i="2"/>
  <c r="R1542" i="2"/>
  <c r="R1662" i="2"/>
  <c r="R1744" i="2"/>
  <c r="R1824" i="2"/>
  <c r="R1888" i="2"/>
  <c r="R1942" i="2"/>
  <c r="R1984" i="2"/>
  <c r="R2023" i="2"/>
  <c r="R2055" i="2"/>
  <c r="R2079" i="2"/>
  <c r="R2097" i="2"/>
  <c r="R2120" i="2"/>
  <c r="R2143" i="2"/>
  <c r="R2161" i="2"/>
  <c r="R2184" i="2"/>
  <c r="R2207" i="2"/>
  <c r="R2225" i="2"/>
  <c r="R2248" i="2"/>
  <c r="R2271" i="2"/>
  <c r="R2289" i="2"/>
  <c r="R2312" i="2"/>
  <c r="R2335" i="2"/>
  <c r="R2353" i="2"/>
  <c r="R2376" i="2"/>
  <c r="R2399" i="2"/>
  <c r="R2417" i="2"/>
  <c r="R2440" i="2"/>
  <c r="R2463" i="2"/>
  <c r="R2481" i="2"/>
  <c r="R2504" i="2"/>
  <c r="R2527" i="2"/>
  <c r="R2545" i="2"/>
  <c r="R2568" i="2"/>
  <c r="R2591" i="2"/>
  <c r="R2609" i="2"/>
  <c r="R2632" i="2"/>
  <c r="R2655" i="2"/>
  <c r="R2673" i="2"/>
  <c r="R2696" i="2"/>
  <c r="R2719" i="2"/>
  <c r="R2737" i="2"/>
  <c r="R2760" i="2"/>
  <c r="R2783" i="2"/>
  <c r="R2801" i="2"/>
  <c r="R2824" i="2"/>
  <c r="R2847" i="2"/>
  <c r="R2865" i="2"/>
  <c r="R2888" i="2"/>
  <c r="R2911" i="2"/>
  <c r="R2929" i="2"/>
  <c r="R2952" i="2"/>
  <c r="R2975" i="2"/>
  <c r="R2993" i="2"/>
  <c r="R1791" i="2"/>
  <c r="R1964" i="2"/>
  <c r="R2071" i="2"/>
  <c r="R2135" i="2"/>
  <c r="R2199" i="2"/>
  <c r="R2217" i="2"/>
  <c r="R2263" i="2"/>
  <c r="R2327" i="2"/>
  <c r="R2345" i="2"/>
  <c r="R2409" i="2"/>
  <c r="R2455" i="2"/>
  <c r="R2537" i="2"/>
  <c r="R2560" i="2"/>
  <c r="R2624" i="2"/>
  <c r="R2647" i="2"/>
  <c r="R2665" i="2"/>
  <c r="R2729" i="2"/>
  <c r="R2752" i="2"/>
  <c r="R2816" i="2"/>
  <c r="R2839" i="2"/>
  <c r="R2921" i="2"/>
  <c r="R2967" i="2"/>
  <c r="R2985" i="2"/>
  <c r="R1186" i="2"/>
  <c r="R1543" i="2"/>
  <c r="R1663" i="2"/>
  <c r="R1750" i="2"/>
  <c r="R1826" i="2"/>
  <c r="R1890" i="2"/>
  <c r="R1943" i="2"/>
  <c r="R1986" i="2"/>
  <c r="R2024" i="2"/>
  <c r="R2056" i="2"/>
  <c r="R2080" i="2"/>
  <c r="R2103" i="2"/>
  <c r="R2121" i="2"/>
  <c r="R2144" i="2"/>
  <c r="R2167" i="2"/>
  <c r="R2185" i="2"/>
  <c r="R2208" i="2"/>
  <c r="R2231" i="2"/>
  <c r="R2249" i="2"/>
  <c r="R2272" i="2"/>
  <c r="R2295" i="2"/>
  <c r="R2313" i="2"/>
  <c r="R2336" i="2"/>
  <c r="R2359" i="2"/>
  <c r="R2377" i="2"/>
  <c r="R2400" i="2"/>
  <c r="R2423" i="2"/>
  <c r="R2441" i="2"/>
  <c r="R2464" i="2"/>
  <c r="R2487" i="2"/>
  <c r="R2505" i="2"/>
  <c r="R2528" i="2"/>
  <c r="R2551" i="2"/>
  <c r="R2569" i="2"/>
  <c r="R2592" i="2"/>
  <c r="R2615" i="2"/>
  <c r="R2633" i="2"/>
  <c r="R2656" i="2"/>
  <c r="R2679" i="2"/>
  <c r="R2697" i="2"/>
  <c r="R2720" i="2"/>
  <c r="R2743" i="2"/>
  <c r="R2761" i="2"/>
  <c r="R2784" i="2"/>
  <c r="R2807" i="2"/>
  <c r="R2825" i="2"/>
  <c r="R2848" i="2"/>
  <c r="R2871" i="2"/>
  <c r="R2889" i="2"/>
  <c r="R2912" i="2"/>
  <c r="R2935" i="2"/>
  <c r="R2953" i="2"/>
  <c r="R2976" i="2"/>
  <c r="R2999" i="2"/>
  <c r="R1704" i="2"/>
  <c r="R2473" i="2"/>
  <c r="R2880" i="2"/>
  <c r="R1261" i="2"/>
  <c r="R1580" i="2"/>
  <c r="R1680" i="2"/>
  <c r="R1767" i="2"/>
  <c r="R1840" i="2"/>
  <c r="R1904" i="2"/>
  <c r="R1952" i="2"/>
  <c r="R1995" i="2"/>
  <c r="R2031" i="2"/>
  <c r="R2063" i="2"/>
  <c r="R2081" i="2"/>
  <c r="R2104" i="2"/>
  <c r="R2127" i="2"/>
  <c r="R2145" i="2"/>
  <c r="R2168" i="2"/>
  <c r="R2191" i="2"/>
  <c r="R2209" i="2"/>
  <c r="R2232" i="2"/>
  <c r="R2255" i="2"/>
  <c r="R2273" i="2"/>
  <c r="R2296" i="2"/>
  <c r="R2319" i="2"/>
  <c r="R2337" i="2"/>
  <c r="R2360" i="2"/>
  <c r="R2383" i="2"/>
  <c r="R2401" i="2"/>
  <c r="R2424" i="2"/>
  <c r="R2447" i="2"/>
  <c r="R2465" i="2"/>
  <c r="R2488" i="2"/>
  <c r="R2511" i="2"/>
  <c r="R2529" i="2"/>
  <c r="R2552" i="2"/>
  <c r="R2575" i="2"/>
  <c r="R2593" i="2"/>
  <c r="R2616" i="2"/>
  <c r="R2639" i="2"/>
  <c r="R2657" i="2"/>
  <c r="R2680" i="2"/>
  <c r="R2703" i="2"/>
  <c r="R2721" i="2"/>
  <c r="R2744" i="2"/>
  <c r="R2767" i="2"/>
  <c r="R2785" i="2"/>
  <c r="R2808" i="2"/>
  <c r="R2831" i="2"/>
  <c r="R2849" i="2"/>
  <c r="R2872" i="2"/>
  <c r="R2895" i="2"/>
  <c r="R2913" i="2"/>
  <c r="R2936" i="2"/>
  <c r="R2959" i="2"/>
  <c r="R2977" i="2"/>
  <c r="R3000" i="2"/>
  <c r="R1426" i="2"/>
  <c r="R2040" i="2"/>
  <c r="R2112" i="2"/>
  <c r="R2176" i="2"/>
  <c r="R2240" i="2"/>
  <c r="R2304" i="2"/>
  <c r="R2368" i="2"/>
  <c r="R2432" i="2"/>
  <c r="R2519" i="2"/>
  <c r="R2601" i="2"/>
  <c r="R2711" i="2"/>
  <c r="R2775" i="2"/>
  <c r="R2857" i="2"/>
  <c r="R2944" i="2"/>
  <c r="R1319" i="2"/>
  <c r="R1581" i="2"/>
  <c r="R1686" i="2"/>
  <c r="R1768" i="2"/>
  <c r="R1842" i="2"/>
  <c r="R1906" i="2"/>
  <c r="R1954" i="2"/>
  <c r="R1996" i="2"/>
  <c r="R2032" i="2"/>
  <c r="R2064" i="2"/>
  <c r="R2087" i="2"/>
  <c r="R2105" i="2"/>
  <c r="R2128" i="2"/>
  <c r="R2151" i="2"/>
  <c r="R2169" i="2"/>
  <c r="R2192" i="2"/>
  <c r="R2215" i="2"/>
  <c r="R2233" i="2"/>
  <c r="R2256" i="2"/>
  <c r="R2279" i="2"/>
  <c r="R2297" i="2"/>
  <c r="R2320" i="2"/>
  <c r="R2343" i="2"/>
  <c r="R2361" i="2"/>
  <c r="R2384" i="2"/>
  <c r="R2407" i="2"/>
  <c r="R2425" i="2"/>
  <c r="R2448" i="2"/>
  <c r="R2471" i="2"/>
  <c r="R2489" i="2"/>
  <c r="R2512" i="2"/>
  <c r="R2535" i="2"/>
  <c r="R2553" i="2"/>
  <c r="R2576" i="2"/>
  <c r="R2599" i="2"/>
  <c r="R2617" i="2"/>
  <c r="R2640" i="2"/>
  <c r="R2663" i="2"/>
  <c r="R2681" i="2"/>
  <c r="R2704" i="2"/>
  <c r="R2727" i="2"/>
  <c r="R2745" i="2"/>
  <c r="R2768" i="2"/>
  <c r="R2791" i="2"/>
  <c r="R2809" i="2"/>
  <c r="R2832" i="2"/>
  <c r="R2855" i="2"/>
  <c r="R2873" i="2"/>
  <c r="R2896" i="2"/>
  <c r="R2919" i="2"/>
  <c r="R2937" i="2"/>
  <c r="R2960" i="2"/>
  <c r="R2983" i="2"/>
  <c r="R3001" i="2"/>
  <c r="R1618" i="2"/>
  <c r="R1858" i="2"/>
  <c r="R1922" i="2"/>
  <c r="R2007" i="2"/>
  <c r="R2089" i="2"/>
  <c r="R2153" i="2"/>
  <c r="R2281" i="2"/>
  <c r="R2391" i="2"/>
  <c r="R2496" i="2"/>
  <c r="R2583" i="2"/>
  <c r="R2688" i="2"/>
  <c r="R2793" i="2"/>
  <c r="R2903" i="2"/>
  <c r="R1382" i="2"/>
  <c r="R1607" i="2"/>
  <c r="R1703" i="2"/>
  <c r="R1790" i="2"/>
  <c r="R1856" i="2"/>
  <c r="R1920" i="2"/>
  <c r="R1963" i="2"/>
  <c r="R2006" i="2"/>
  <c r="R2039" i="2"/>
  <c r="R2065" i="2"/>
  <c r="R2088" i="2"/>
  <c r="R2111" i="2"/>
  <c r="R2129" i="2"/>
  <c r="R2152" i="2"/>
  <c r="R2175" i="2"/>
  <c r="R2193" i="2"/>
  <c r="R2216" i="2"/>
  <c r="R2239" i="2"/>
  <c r="R2257" i="2"/>
  <c r="R2280" i="2"/>
  <c r="R2303" i="2"/>
  <c r="R2321" i="2"/>
  <c r="R2344" i="2"/>
  <c r="R2367" i="2"/>
  <c r="R2385" i="2"/>
  <c r="R2408" i="2"/>
  <c r="R2431" i="2"/>
  <c r="R2449" i="2"/>
  <c r="R2472" i="2"/>
  <c r="R2495" i="2"/>
  <c r="R2513" i="2"/>
  <c r="R2536" i="2"/>
  <c r="R2559" i="2"/>
  <c r="R2577" i="2"/>
  <c r="R2600" i="2"/>
  <c r="R2623" i="2"/>
  <c r="R2641" i="2"/>
  <c r="R2664" i="2"/>
  <c r="R2687" i="2"/>
  <c r="R2705" i="2"/>
  <c r="R2728" i="2"/>
  <c r="R2751" i="2"/>
  <c r="R2769" i="2"/>
  <c r="R2792" i="2"/>
  <c r="R2815" i="2"/>
  <c r="R2833" i="2"/>
  <c r="R2856" i="2"/>
  <c r="R2879" i="2"/>
  <c r="R2897" i="2"/>
  <c r="R2920" i="2"/>
  <c r="R2943" i="2"/>
  <c r="R2961" i="2"/>
  <c r="R2984" i="2"/>
  <c r="R1471" i="2"/>
  <c r="R1638" i="2"/>
  <c r="R1726" i="2"/>
  <c r="R1808" i="2"/>
  <c r="R1872" i="2"/>
  <c r="R1931" i="2"/>
  <c r="R1974" i="2"/>
  <c r="R2015" i="2"/>
  <c r="R2047" i="2"/>
  <c r="R2072" i="2"/>
  <c r="R2095" i="2"/>
  <c r="R2113" i="2"/>
  <c r="R2136" i="2"/>
  <c r="R2159" i="2"/>
  <c r="R2177" i="2"/>
  <c r="R2200" i="2"/>
  <c r="R2223" i="2"/>
  <c r="R2241" i="2"/>
  <c r="R2264" i="2"/>
  <c r="R2287" i="2"/>
  <c r="R2305" i="2"/>
  <c r="R2328" i="2"/>
  <c r="R2351" i="2"/>
  <c r="R2369" i="2"/>
  <c r="R2392" i="2"/>
  <c r="R2415" i="2"/>
  <c r="R2433" i="2"/>
  <c r="R2456" i="2"/>
  <c r="R2479" i="2"/>
  <c r="R2497" i="2"/>
  <c r="R2520" i="2"/>
  <c r="R2543" i="2"/>
  <c r="R2561" i="2"/>
  <c r="R2584" i="2"/>
  <c r="R2607" i="2"/>
  <c r="R2625" i="2"/>
  <c r="R2648" i="2"/>
  <c r="R2671" i="2"/>
  <c r="R2689" i="2"/>
  <c r="R2712" i="2"/>
  <c r="R2735" i="2"/>
  <c r="R2753" i="2"/>
  <c r="R2776" i="2"/>
  <c r="R2799" i="2"/>
  <c r="R2817" i="2"/>
  <c r="R2840" i="2"/>
  <c r="R2863" i="2"/>
  <c r="R2881" i="2"/>
  <c r="R2904" i="2"/>
  <c r="R2927" i="2"/>
  <c r="R2945" i="2"/>
  <c r="R2968" i="2"/>
  <c r="R2991" i="2"/>
  <c r="R25" i="2"/>
  <c r="R26" i="2"/>
  <c r="R27" i="2"/>
  <c r="R28" i="2"/>
  <c r="R29" i="2"/>
  <c r="R30" i="2"/>
  <c r="R8" i="2"/>
  <c r="R24" i="2"/>
  <c r="R16" i="2"/>
  <c r="R9" i="2"/>
  <c r="R15" i="2"/>
  <c r="R17" i="2"/>
  <c r="R19" i="2"/>
  <c r="R20" i="2"/>
  <c r="R21" i="2"/>
  <c r="R22" i="2"/>
  <c r="R10" i="2"/>
  <c r="R11" i="2"/>
  <c r="R12" i="2"/>
  <c r="R13" i="2"/>
  <c r="R14" i="2"/>
  <c r="R18" i="2"/>
  <c r="R23" i="2"/>
  <c r="U28" i="2"/>
  <c r="R7" i="2"/>
  <c r="U34" i="2"/>
  <c r="U30" i="2"/>
  <c r="U29" i="2"/>
  <c r="K14" i="1" l="1" a="1"/>
  <c r="D7" i="2" a="1"/>
  <c r="K14" i="1" l="1"/>
  <c r="N25" i="1" s="1"/>
  <c r="N30" i="1" s="1"/>
  <c r="D7" i="2"/>
  <c r="E7" i="2" s="1" a="1"/>
  <c r="N40" i="1" l="1"/>
  <c r="N36" i="1"/>
  <c r="N26" i="1"/>
  <c r="N27" i="1" s="1"/>
  <c r="N35" i="1"/>
  <c r="E7" i="2"/>
  <c r="I30" i="2" s="1"/>
  <c r="I31" i="2" s="1"/>
  <c r="F8" i="2" l="1"/>
  <c r="F16" i="2"/>
  <c r="F24" i="2"/>
  <c r="F32" i="2"/>
  <c r="F40" i="2"/>
  <c r="F48" i="2"/>
  <c r="F56" i="2"/>
  <c r="F64" i="2"/>
  <c r="F72" i="2"/>
  <c r="F80" i="2"/>
  <c r="F9" i="2"/>
  <c r="F17" i="2"/>
  <c r="F25" i="2"/>
  <c r="F33" i="2"/>
  <c r="F41" i="2"/>
  <c r="F49" i="2"/>
  <c r="F57" i="2"/>
  <c r="F65" i="2"/>
  <c r="F73" i="2"/>
  <c r="F81" i="2"/>
  <c r="F10" i="2"/>
  <c r="F18" i="2"/>
  <c r="F26" i="2"/>
  <c r="F34" i="2"/>
  <c r="F42" i="2"/>
  <c r="F50" i="2"/>
  <c r="F58" i="2"/>
  <c r="F66" i="2"/>
  <c r="F74" i="2"/>
  <c r="F82" i="2"/>
  <c r="F90" i="2"/>
  <c r="F98" i="2"/>
  <c r="F106" i="2"/>
  <c r="F114" i="2"/>
  <c r="F122" i="2"/>
  <c r="F130" i="2"/>
  <c r="F138" i="2"/>
  <c r="F146" i="2"/>
  <c r="F154" i="2"/>
  <c r="F162" i="2"/>
  <c r="F170" i="2"/>
  <c r="F178" i="2"/>
  <c r="F186" i="2"/>
  <c r="F194" i="2"/>
  <c r="F11" i="2"/>
  <c r="F12" i="2"/>
  <c r="F13" i="2"/>
  <c r="F14" i="2"/>
  <c r="F15" i="2"/>
  <c r="F23" i="2"/>
  <c r="F31" i="2"/>
  <c r="F39" i="2"/>
  <c r="F47" i="2"/>
  <c r="F55" i="2"/>
  <c r="F63" i="2"/>
  <c r="F71" i="2"/>
  <c r="F79" i="2"/>
  <c r="F87" i="2"/>
  <c r="F95" i="2"/>
  <c r="F103" i="2"/>
  <c r="F111" i="2"/>
  <c r="F119" i="2"/>
  <c r="F127" i="2"/>
  <c r="F135" i="2"/>
  <c r="F143" i="2"/>
  <c r="F151" i="2"/>
  <c r="F159" i="2"/>
  <c r="F167" i="2"/>
  <c r="F175" i="2"/>
  <c r="F183" i="2"/>
  <c r="F191" i="2"/>
  <c r="F199" i="2"/>
  <c r="F207" i="2"/>
  <c r="F215" i="2"/>
  <c r="F223" i="2"/>
  <c r="F231" i="2"/>
  <c r="F239" i="2"/>
  <c r="F247" i="2"/>
  <c r="F255" i="2"/>
  <c r="F263" i="2"/>
  <c r="F271" i="2"/>
  <c r="F279" i="2"/>
  <c r="F287" i="2"/>
  <c r="F295" i="2"/>
  <c r="F303" i="2"/>
  <c r="F311" i="2"/>
  <c r="F319" i="2"/>
  <c r="F327" i="2"/>
  <c r="F335" i="2"/>
  <c r="F343" i="2"/>
  <c r="F351" i="2"/>
  <c r="F359" i="2"/>
  <c r="F367" i="2"/>
  <c r="F375" i="2"/>
  <c r="F383" i="2"/>
  <c r="F391" i="2"/>
  <c r="F399" i="2"/>
  <c r="F407" i="2"/>
  <c r="F415" i="2"/>
  <c r="F423" i="2"/>
  <c r="F431" i="2"/>
  <c r="F439" i="2"/>
  <c r="F447" i="2"/>
  <c r="F455" i="2"/>
  <c r="F463" i="2"/>
  <c r="F471" i="2"/>
  <c r="F479" i="2"/>
  <c r="F487" i="2"/>
  <c r="F495" i="2"/>
  <c r="F503" i="2"/>
  <c r="F511" i="2"/>
  <c r="F519" i="2"/>
  <c r="F527" i="2"/>
  <c r="F535" i="2"/>
  <c r="F543" i="2"/>
  <c r="F551" i="2"/>
  <c r="F559" i="2"/>
  <c r="F567" i="2"/>
  <c r="F575" i="2"/>
  <c r="F583" i="2"/>
  <c r="F591" i="2"/>
  <c r="F599" i="2"/>
  <c r="F607" i="2"/>
  <c r="F615" i="2"/>
  <c r="F623" i="2"/>
  <c r="F631" i="2"/>
  <c r="F639" i="2"/>
  <c r="F647" i="2"/>
  <c r="F655" i="2"/>
  <c r="F663" i="2"/>
  <c r="F671" i="2"/>
  <c r="F679" i="2"/>
  <c r="F687" i="2"/>
  <c r="F19" i="2"/>
  <c r="F20" i="2"/>
  <c r="F36" i="2"/>
  <c r="F52" i="2"/>
  <c r="F68" i="2"/>
  <c r="F84" i="2"/>
  <c r="F94" i="2"/>
  <c r="F105" i="2"/>
  <c r="F116" i="2"/>
  <c r="F126" i="2"/>
  <c r="F137" i="2"/>
  <c r="F148" i="2"/>
  <c r="F158" i="2"/>
  <c r="F169" i="2"/>
  <c r="F180" i="2"/>
  <c r="F190" i="2"/>
  <c r="F201" i="2"/>
  <c r="F210" i="2"/>
  <c r="F219" i="2"/>
  <c r="F228" i="2"/>
  <c r="F237" i="2"/>
  <c r="F246" i="2"/>
  <c r="F256" i="2"/>
  <c r="F265" i="2"/>
  <c r="F274" i="2"/>
  <c r="F283" i="2"/>
  <c r="F292" i="2"/>
  <c r="F301" i="2"/>
  <c r="F310" i="2"/>
  <c r="F320" i="2"/>
  <c r="F329" i="2"/>
  <c r="F338" i="2"/>
  <c r="F347" i="2"/>
  <c r="F356" i="2"/>
  <c r="F365" i="2"/>
  <c r="F374" i="2"/>
  <c r="F384" i="2"/>
  <c r="F393" i="2"/>
  <c r="F402" i="2"/>
  <c r="F411" i="2"/>
  <c r="F420" i="2"/>
  <c r="F429" i="2"/>
  <c r="F438" i="2"/>
  <c r="F448" i="2"/>
  <c r="F457" i="2"/>
  <c r="F466" i="2"/>
  <c r="F475" i="2"/>
  <c r="F484" i="2"/>
  <c r="F493" i="2"/>
  <c r="F502" i="2"/>
  <c r="F512" i="2"/>
  <c r="F521" i="2"/>
  <c r="F530" i="2"/>
  <c r="F539" i="2"/>
  <c r="F548" i="2"/>
  <c r="F557" i="2"/>
  <c r="F566" i="2"/>
  <c r="F576" i="2"/>
  <c r="F585" i="2"/>
  <c r="F594" i="2"/>
  <c r="F603" i="2"/>
  <c r="F612" i="2"/>
  <c r="F621" i="2"/>
  <c r="F630" i="2"/>
  <c r="F640" i="2"/>
  <c r="F649" i="2"/>
  <c r="F658" i="2"/>
  <c r="F667" i="2"/>
  <c r="F676" i="2"/>
  <c r="F685" i="2"/>
  <c r="F694" i="2"/>
  <c r="F702" i="2"/>
  <c r="F710" i="2"/>
  <c r="F718" i="2"/>
  <c r="F726" i="2"/>
  <c r="F734" i="2"/>
  <c r="F742" i="2"/>
  <c r="F750" i="2"/>
  <c r="F758" i="2"/>
  <c r="F766" i="2"/>
  <c r="F774" i="2"/>
  <c r="F782" i="2"/>
  <c r="F790" i="2"/>
  <c r="F798" i="2"/>
  <c r="F806" i="2"/>
  <c r="F814" i="2"/>
  <c r="F21" i="2"/>
  <c r="F37" i="2"/>
  <c r="F53" i="2"/>
  <c r="F69" i="2"/>
  <c r="F85" i="2"/>
  <c r="F96" i="2"/>
  <c r="F107" i="2"/>
  <c r="F117" i="2"/>
  <c r="F128" i="2"/>
  <c r="F139" i="2"/>
  <c r="F149" i="2"/>
  <c r="F160" i="2"/>
  <c r="F171" i="2"/>
  <c r="F181" i="2"/>
  <c r="F192" i="2"/>
  <c r="F202" i="2"/>
  <c r="F211" i="2"/>
  <c r="F220" i="2"/>
  <c r="F229" i="2"/>
  <c r="F238" i="2"/>
  <c r="F248" i="2"/>
  <c r="F257" i="2"/>
  <c r="F266" i="2"/>
  <c r="F275" i="2"/>
  <c r="F284" i="2"/>
  <c r="F293" i="2"/>
  <c r="F302" i="2"/>
  <c r="F312" i="2"/>
  <c r="F321" i="2"/>
  <c r="F330" i="2"/>
  <c r="F339" i="2"/>
  <c r="F348" i="2"/>
  <c r="F357" i="2"/>
  <c r="F366" i="2"/>
  <c r="F376" i="2"/>
  <c r="F385" i="2"/>
  <c r="F394" i="2"/>
  <c r="F403" i="2"/>
  <c r="F412" i="2"/>
  <c r="F421" i="2"/>
  <c r="F430" i="2"/>
  <c r="F440" i="2"/>
  <c r="F449" i="2"/>
  <c r="F458" i="2"/>
  <c r="F467" i="2"/>
  <c r="F476" i="2"/>
  <c r="F485" i="2"/>
  <c r="F494" i="2"/>
  <c r="F504" i="2"/>
  <c r="F513" i="2"/>
  <c r="F522" i="2"/>
  <c r="F531" i="2"/>
  <c r="F540" i="2"/>
  <c r="F549" i="2"/>
  <c r="F558" i="2"/>
  <c r="F568" i="2"/>
  <c r="F577" i="2"/>
  <c r="F586" i="2"/>
  <c r="F595" i="2"/>
  <c r="F604" i="2"/>
  <c r="F613" i="2"/>
  <c r="F622" i="2"/>
  <c r="F632" i="2"/>
  <c r="F641" i="2"/>
  <c r="F650" i="2"/>
  <c r="F659" i="2"/>
  <c r="F668" i="2"/>
  <c r="F677" i="2"/>
  <c r="F686" i="2"/>
  <c r="F695" i="2"/>
  <c r="F703" i="2"/>
  <c r="F711" i="2"/>
  <c r="F719" i="2"/>
  <c r="F727" i="2"/>
  <c r="F735" i="2"/>
  <c r="F743" i="2"/>
  <c r="F751" i="2"/>
  <c r="F759" i="2"/>
  <c r="F767" i="2"/>
  <c r="F775" i="2"/>
  <c r="F783" i="2"/>
  <c r="F791" i="2"/>
  <c r="F799" i="2"/>
  <c r="F807" i="2"/>
  <c r="F815" i="2"/>
  <c r="F22" i="2"/>
  <c r="F38" i="2"/>
  <c r="F54" i="2"/>
  <c r="F70" i="2"/>
  <c r="F86" i="2"/>
  <c r="F97" i="2"/>
  <c r="F108" i="2"/>
  <c r="F118" i="2"/>
  <c r="F129" i="2"/>
  <c r="F140" i="2"/>
  <c r="F150" i="2"/>
  <c r="F161" i="2"/>
  <c r="F172" i="2"/>
  <c r="F182" i="2"/>
  <c r="F193" i="2"/>
  <c r="F203" i="2"/>
  <c r="F212" i="2"/>
  <c r="F221" i="2"/>
  <c r="F230" i="2"/>
  <c r="F240" i="2"/>
  <c r="F249" i="2"/>
  <c r="F258" i="2"/>
  <c r="F267" i="2"/>
  <c r="F276" i="2"/>
  <c r="F285" i="2"/>
  <c r="F294" i="2"/>
  <c r="F304" i="2"/>
  <c r="F313" i="2"/>
  <c r="F322" i="2"/>
  <c r="F331" i="2"/>
  <c r="F340" i="2"/>
  <c r="F349" i="2"/>
  <c r="F358" i="2"/>
  <c r="F368" i="2"/>
  <c r="F377" i="2"/>
  <c r="F386" i="2"/>
  <c r="F395" i="2"/>
  <c r="F404" i="2"/>
  <c r="F413" i="2"/>
  <c r="F422" i="2"/>
  <c r="F432" i="2"/>
  <c r="F441" i="2"/>
  <c r="F450" i="2"/>
  <c r="F459" i="2"/>
  <c r="F468" i="2"/>
  <c r="F477" i="2"/>
  <c r="F486" i="2"/>
  <c r="F496" i="2"/>
  <c r="F505" i="2"/>
  <c r="F514" i="2"/>
  <c r="F523" i="2"/>
  <c r="F532" i="2"/>
  <c r="F541" i="2"/>
  <c r="F550" i="2"/>
  <c r="F560" i="2"/>
  <c r="F569" i="2"/>
  <c r="F578" i="2"/>
  <c r="F587" i="2"/>
  <c r="F596" i="2"/>
  <c r="F605" i="2"/>
  <c r="F614" i="2"/>
  <c r="F624" i="2"/>
  <c r="F633" i="2"/>
  <c r="F642" i="2"/>
  <c r="F651" i="2"/>
  <c r="F660" i="2"/>
  <c r="F669" i="2"/>
  <c r="F678" i="2"/>
  <c r="F688" i="2"/>
  <c r="F696" i="2"/>
  <c r="F704" i="2"/>
  <c r="F712" i="2"/>
  <c r="F720" i="2"/>
  <c r="F728" i="2"/>
  <c r="F736" i="2"/>
  <c r="F744" i="2"/>
  <c r="F752" i="2"/>
  <c r="F760" i="2"/>
  <c r="F768" i="2"/>
  <c r="F776" i="2"/>
  <c r="F784" i="2"/>
  <c r="F792" i="2"/>
  <c r="F800" i="2"/>
  <c r="F808" i="2"/>
  <c r="F816" i="2"/>
  <c r="F27" i="2"/>
  <c r="F28" i="2"/>
  <c r="F44" i="2"/>
  <c r="F60" i="2"/>
  <c r="F76" i="2"/>
  <c r="F89" i="2"/>
  <c r="F100" i="2"/>
  <c r="F110" i="2"/>
  <c r="F121" i="2"/>
  <c r="F132" i="2"/>
  <c r="F142" i="2"/>
  <c r="F153" i="2"/>
  <c r="F164" i="2"/>
  <c r="F174" i="2"/>
  <c r="F185" i="2"/>
  <c r="F196" i="2"/>
  <c r="F205" i="2"/>
  <c r="F214" i="2"/>
  <c r="F30" i="2"/>
  <c r="F46" i="2"/>
  <c r="F62" i="2"/>
  <c r="F78" i="2"/>
  <c r="F92" i="2"/>
  <c r="F102" i="2"/>
  <c r="F113" i="2"/>
  <c r="F124" i="2"/>
  <c r="F134" i="2"/>
  <c r="F145" i="2"/>
  <c r="F156" i="2"/>
  <c r="F166" i="2"/>
  <c r="F177" i="2"/>
  <c r="F188" i="2"/>
  <c r="F198" i="2"/>
  <c r="F208" i="2"/>
  <c r="F217" i="2"/>
  <c r="F226" i="2"/>
  <c r="F235" i="2"/>
  <c r="F244" i="2"/>
  <c r="F253" i="2"/>
  <c r="F262" i="2"/>
  <c r="F272" i="2"/>
  <c r="F281" i="2"/>
  <c r="F290" i="2"/>
  <c r="F299" i="2"/>
  <c r="F308" i="2"/>
  <c r="F317" i="2"/>
  <c r="F326" i="2"/>
  <c r="F336" i="2"/>
  <c r="F345" i="2"/>
  <c r="F354" i="2"/>
  <c r="F363" i="2"/>
  <c r="F372" i="2"/>
  <c r="F381" i="2"/>
  <c r="F390" i="2"/>
  <c r="F400" i="2"/>
  <c r="F409" i="2"/>
  <c r="F418" i="2"/>
  <c r="F427" i="2"/>
  <c r="F436" i="2"/>
  <c r="F445" i="2"/>
  <c r="F454" i="2"/>
  <c r="F464" i="2"/>
  <c r="F473" i="2"/>
  <c r="F482" i="2"/>
  <c r="F491" i="2"/>
  <c r="F500" i="2"/>
  <c r="F509" i="2"/>
  <c r="F518" i="2"/>
  <c r="F528" i="2"/>
  <c r="F537" i="2"/>
  <c r="F546" i="2"/>
  <c r="F555" i="2"/>
  <c r="F564" i="2"/>
  <c r="F573" i="2"/>
  <c r="F582" i="2"/>
  <c r="F592" i="2"/>
  <c r="F601" i="2"/>
  <c r="F610" i="2"/>
  <c r="F619" i="2"/>
  <c r="F628" i="2"/>
  <c r="F637" i="2"/>
  <c r="F646" i="2"/>
  <c r="F656" i="2"/>
  <c r="F665" i="2"/>
  <c r="F674" i="2"/>
  <c r="F683" i="2"/>
  <c r="F692" i="2"/>
  <c r="F700" i="2"/>
  <c r="F708" i="2"/>
  <c r="F716" i="2"/>
  <c r="F724" i="2"/>
  <c r="F732" i="2"/>
  <c r="F740" i="2"/>
  <c r="F748" i="2"/>
  <c r="F756" i="2"/>
  <c r="F764" i="2"/>
  <c r="F772" i="2"/>
  <c r="F780" i="2"/>
  <c r="F788" i="2"/>
  <c r="F796" i="2"/>
  <c r="F804" i="2"/>
  <c r="F812" i="2"/>
  <c r="F29" i="2"/>
  <c r="F75" i="2"/>
  <c r="F104" i="2"/>
  <c r="F133" i="2"/>
  <c r="F163" i="2"/>
  <c r="F189" i="2"/>
  <c r="F216" i="2"/>
  <c r="F234" i="2"/>
  <c r="F252" i="2"/>
  <c r="F270" i="2"/>
  <c r="F289" i="2"/>
  <c r="F307" i="2"/>
  <c r="F325" i="2"/>
  <c r="F344" i="2"/>
  <c r="F362" i="2"/>
  <c r="F380" i="2"/>
  <c r="F398" i="2"/>
  <c r="F417" i="2"/>
  <c r="F435" i="2"/>
  <c r="F453" i="2"/>
  <c r="F472" i="2"/>
  <c r="F490" i="2"/>
  <c r="F508" i="2"/>
  <c r="F526" i="2"/>
  <c r="F545" i="2"/>
  <c r="F563" i="2"/>
  <c r="F35" i="2"/>
  <c r="F77" i="2"/>
  <c r="F109" i="2"/>
  <c r="F136" i="2"/>
  <c r="F165" i="2"/>
  <c r="F195" i="2"/>
  <c r="F218" i="2"/>
  <c r="F236" i="2"/>
  <c r="F254" i="2"/>
  <c r="F273" i="2"/>
  <c r="F291" i="2"/>
  <c r="F309" i="2"/>
  <c r="F328" i="2"/>
  <c r="F346" i="2"/>
  <c r="F364" i="2"/>
  <c r="F382" i="2"/>
  <c r="F401" i="2"/>
  <c r="F419" i="2"/>
  <c r="F437" i="2"/>
  <c r="F456" i="2"/>
  <c r="F474" i="2"/>
  <c r="F492" i="2"/>
  <c r="F510" i="2"/>
  <c r="F529" i="2"/>
  <c r="F547" i="2"/>
  <c r="F565" i="2"/>
  <c r="F584" i="2"/>
  <c r="F602" i="2"/>
  <c r="F620" i="2"/>
  <c r="F638" i="2"/>
  <c r="F657" i="2"/>
  <c r="F675" i="2"/>
  <c r="F693" i="2"/>
  <c r="F709" i="2"/>
  <c r="F725" i="2"/>
  <c r="F741" i="2"/>
  <c r="F757" i="2"/>
  <c r="F773" i="2"/>
  <c r="F789" i="2"/>
  <c r="F805" i="2"/>
  <c r="F820" i="2"/>
  <c r="F828" i="2"/>
  <c r="F836" i="2"/>
  <c r="F844" i="2"/>
  <c r="F852" i="2"/>
  <c r="F860" i="2"/>
  <c r="F868" i="2"/>
  <c r="F876" i="2"/>
  <c r="F884" i="2"/>
  <c r="F892" i="2"/>
  <c r="F900" i="2"/>
  <c r="F908" i="2"/>
  <c r="F916" i="2"/>
  <c r="F924" i="2"/>
  <c r="F932" i="2"/>
  <c r="F940" i="2"/>
  <c r="F948" i="2"/>
  <c r="F956" i="2"/>
  <c r="F964" i="2"/>
  <c r="F972" i="2"/>
  <c r="F980" i="2"/>
  <c r="F988" i="2"/>
  <c r="F996" i="2"/>
  <c r="F1004" i="2"/>
  <c r="F1012" i="2"/>
  <c r="F1020" i="2"/>
  <c r="F1028" i="2"/>
  <c r="F1036" i="2"/>
  <c r="F1044" i="2"/>
  <c r="F1052" i="2"/>
  <c r="F1060" i="2"/>
  <c r="F1068" i="2"/>
  <c r="F1076" i="2"/>
  <c r="F1084" i="2"/>
  <c r="F1092" i="2"/>
  <c r="F1100" i="2"/>
  <c r="F1108" i="2"/>
  <c r="F1116" i="2"/>
  <c r="F1124" i="2"/>
  <c r="F1132" i="2"/>
  <c r="F1140" i="2"/>
  <c r="F1148" i="2"/>
  <c r="F1156" i="2"/>
  <c r="F1164" i="2"/>
  <c r="F1172" i="2"/>
  <c r="F43" i="2"/>
  <c r="F83" i="2"/>
  <c r="F112" i="2"/>
  <c r="F141" i="2"/>
  <c r="F168" i="2"/>
  <c r="F197" i="2"/>
  <c r="F222" i="2"/>
  <c r="F241" i="2"/>
  <c r="F259" i="2"/>
  <c r="F277" i="2"/>
  <c r="F296" i="2"/>
  <c r="F314" i="2"/>
  <c r="F332" i="2"/>
  <c r="F350" i="2"/>
  <c r="F369" i="2"/>
  <c r="F387" i="2"/>
  <c r="F405" i="2"/>
  <c r="F424" i="2"/>
  <c r="F442" i="2"/>
  <c r="F460" i="2"/>
  <c r="F478" i="2"/>
  <c r="F497" i="2"/>
  <c r="F515" i="2"/>
  <c r="F533" i="2"/>
  <c r="F552" i="2"/>
  <c r="F570" i="2"/>
  <c r="F45" i="2"/>
  <c r="F88" i="2"/>
  <c r="F115" i="2"/>
  <c r="F144" i="2"/>
  <c r="F173" i="2"/>
  <c r="F200" i="2"/>
  <c r="F224" i="2"/>
  <c r="F242" i="2"/>
  <c r="F260" i="2"/>
  <c r="F278" i="2"/>
  <c r="F297" i="2"/>
  <c r="F315" i="2"/>
  <c r="F333" i="2"/>
  <c r="F352" i="2"/>
  <c r="F370" i="2"/>
  <c r="F388" i="2"/>
  <c r="F406" i="2"/>
  <c r="F425" i="2"/>
  <c r="F443" i="2"/>
  <c r="F461" i="2"/>
  <c r="F480" i="2"/>
  <c r="F498" i="2"/>
  <c r="F516" i="2"/>
  <c r="F534" i="2"/>
  <c r="F553" i="2"/>
  <c r="F571" i="2"/>
  <c r="F589" i="2"/>
  <c r="F51" i="2"/>
  <c r="F91" i="2"/>
  <c r="F120" i="2"/>
  <c r="F147" i="2"/>
  <c r="F176" i="2"/>
  <c r="F204" i="2"/>
  <c r="F225" i="2"/>
  <c r="F243" i="2"/>
  <c r="F261" i="2"/>
  <c r="F280" i="2"/>
  <c r="F298" i="2"/>
  <c r="F316" i="2"/>
  <c r="F334" i="2"/>
  <c r="F353" i="2"/>
  <c r="F371" i="2"/>
  <c r="F389" i="2"/>
  <c r="F408" i="2"/>
  <c r="F426" i="2"/>
  <c r="F444" i="2"/>
  <c r="F462" i="2"/>
  <c r="F481" i="2"/>
  <c r="F499" i="2"/>
  <c r="F517" i="2"/>
  <c r="F536" i="2"/>
  <c r="F554" i="2"/>
  <c r="F572" i="2"/>
  <c r="F590" i="2"/>
  <c r="F609" i="2"/>
  <c r="F627" i="2"/>
  <c r="F645" i="2"/>
  <c r="F664" i="2"/>
  <c r="F682" i="2"/>
  <c r="F699" i="2"/>
  <c r="F715" i="2"/>
  <c r="F731" i="2"/>
  <c r="F747" i="2"/>
  <c r="F763" i="2"/>
  <c r="F779" i="2"/>
  <c r="F795" i="2"/>
  <c r="F811" i="2"/>
  <c r="F823" i="2"/>
  <c r="F831" i="2"/>
  <c r="F839" i="2"/>
  <c r="F847" i="2"/>
  <c r="F855" i="2"/>
  <c r="F863" i="2"/>
  <c r="F871" i="2"/>
  <c r="F879" i="2"/>
  <c r="F887" i="2"/>
  <c r="F895" i="2"/>
  <c r="F903" i="2"/>
  <c r="F911" i="2"/>
  <c r="F919" i="2"/>
  <c r="F927" i="2"/>
  <c r="F935" i="2"/>
  <c r="F943" i="2"/>
  <c r="F951" i="2"/>
  <c r="F959" i="2"/>
  <c r="F967" i="2"/>
  <c r="F975" i="2"/>
  <c r="F983" i="2"/>
  <c r="F991" i="2"/>
  <c r="F999" i="2"/>
  <c r="F1007" i="2"/>
  <c r="F1015" i="2"/>
  <c r="F1023" i="2"/>
  <c r="F1031" i="2"/>
  <c r="F1039" i="2"/>
  <c r="F1047" i="2"/>
  <c r="F1055" i="2"/>
  <c r="F1063" i="2"/>
  <c r="F1071" i="2"/>
  <c r="F1079" i="2"/>
  <c r="F1087" i="2"/>
  <c r="F1095" i="2"/>
  <c r="F1103" i="2"/>
  <c r="F1111" i="2"/>
  <c r="F1119" i="2"/>
  <c r="F1127" i="2"/>
  <c r="F1135" i="2"/>
  <c r="F1143" i="2"/>
  <c r="F1151" i="2"/>
  <c r="F1159" i="2"/>
  <c r="F1167" i="2"/>
  <c r="F1175" i="2"/>
  <c r="F67" i="2"/>
  <c r="F101" i="2"/>
  <c r="F131" i="2"/>
  <c r="F157" i="2"/>
  <c r="F187" i="2"/>
  <c r="F213" i="2"/>
  <c r="F233" i="2"/>
  <c r="F251" i="2"/>
  <c r="F269" i="2"/>
  <c r="F288" i="2"/>
  <c r="F306" i="2"/>
  <c r="F324" i="2"/>
  <c r="F342" i="2"/>
  <c r="F361" i="2"/>
  <c r="F379" i="2"/>
  <c r="F397" i="2"/>
  <c r="F416" i="2"/>
  <c r="F434" i="2"/>
  <c r="F452" i="2"/>
  <c r="F470" i="2"/>
  <c r="F489" i="2"/>
  <c r="F507" i="2"/>
  <c r="F525" i="2"/>
  <c r="F544" i="2"/>
  <c r="F562" i="2"/>
  <c r="F580" i="2"/>
  <c r="F598" i="2"/>
  <c r="F617" i="2"/>
  <c r="F635" i="2"/>
  <c r="F653" i="2"/>
  <c r="F672" i="2"/>
  <c r="F690" i="2"/>
  <c r="F706" i="2"/>
  <c r="F722" i="2"/>
  <c r="F738" i="2"/>
  <c r="F754" i="2"/>
  <c r="F770" i="2"/>
  <c r="F786" i="2"/>
  <c r="F802" i="2"/>
  <c r="F818" i="2"/>
  <c r="F826" i="2"/>
  <c r="F834" i="2"/>
  <c r="F842" i="2"/>
  <c r="F850" i="2"/>
  <c r="F858" i="2"/>
  <c r="F866" i="2"/>
  <c r="F874" i="2"/>
  <c r="F882" i="2"/>
  <c r="F890" i="2"/>
  <c r="F898" i="2"/>
  <c r="F906" i="2"/>
  <c r="F914" i="2"/>
  <c r="F922" i="2"/>
  <c r="F930" i="2"/>
  <c r="F938" i="2"/>
  <c r="F946" i="2"/>
  <c r="F954" i="2"/>
  <c r="F962" i="2"/>
  <c r="F970" i="2"/>
  <c r="F978" i="2"/>
  <c r="F986" i="2"/>
  <c r="F994" i="2"/>
  <c r="F1002" i="2"/>
  <c r="F1010" i="2"/>
  <c r="F1018" i="2"/>
  <c r="F1026" i="2"/>
  <c r="F1034" i="2"/>
  <c r="F1042" i="2"/>
  <c r="F1050" i="2"/>
  <c r="F1058" i="2"/>
  <c r="F1066" i="2"/>
  <c r="F1074" i="2"/>
  <c r="F1082" i="2"/>
  <c r="F1090" i="2"/>
  <c r="F1098" i="2"/>
  <c r="F1106" i="2"/>
  <c r="F1114" i="2"/>
  <c r="F1122" i="2"/>
  <c r="F1130" i="2"/>
  <c r="F1138" i="2"/>
  <c r="F1146" i="2"/>
  <c r="F1154" i="2"/>
  <c r="F1162" i="2"/>
  <c r="F1170" i="2"/>
  <c r="F59" i="2"/>
  <c r="F179" i="2"/>
  <c r="F264" i="2"/>
  <c r="F337" i="2"/>
  <c r="F410" i="2"/>
  <c r="F483" i="2"/>
  <c r="F556" i="2"/>
  <c r="F600" i="2"/>
  <c r="F629" i="2"/>
  <c r="F661" i="2"/>
  <c r="F689" i="2"/>
  <c r="F714" i="2"/>
  <c r="F739" i="2"/>
  <c r="F765" i="2"/>
  <c r="F793" i="2"/>
  <c r="F817" i="2"/>
  <c r="F830" i="2"/>
  <c r="F843" i="2"/>
  <c r="F856" i="2"/>
  <c r="F869" i="2"/>
  <c r="F881" i="2"/>
  <c r="F894" i="2"/>
  <c r="F907" i="2"/>
  <c r="F920" i="2"/>
  <c r="F933" i="2"/>
  <c r="F945" i="2"/>
  <c r="F958" i="2"/>
  <c r="F971" i="2"/>
  <c r="F984" i="2"/>
  <c r="F997" i="2"/>
  <c r="F1009" i="2"/>
  <c r="F1022" i="2"/>
  <c r="F1035" i="2"/>
  <c r="F1048" i="2"/>
  <c r="F1061" i="2"/>
  <c r="F1073" i="2"/>
  <c r="F1086" i="2"/>
  <c r="F61" i="2"/>
  <c r="F184" i="2"/>
  <c r="F268" i="2"/>
  <c r="F341" i="2"/>
  <c r="F414" i="2"/>
  <c r="F488" i="2"/>
  <c r="F561" i="2"/>
  <c r="F606" i="2"/>
  <c r="F634" i="2"/>
  <c r="F93" i="2"/>
  <c r="F206" i="2"/>
  <c r="F282" i="2"/>
  <c r="F355" i="2"/>
  <c r="F428" i="2"/>
  <c r="F501" i="2"/>
  <c r="F574" i="2"/>
  <c r="F608" i="2"/>
  <c r="F636" i="2"/>
  <c r="F666" i="2"/>
  <c r="F99" i="2"/>
  <c r="F209" i="2"/>
  <c r="F286" i="2"/>
  <c r="F360" i="2"/>
  <c r="F433" i="2"/>
  <c r="F506" i="2"/>
  <c r="F579" i="2"/>
  <c r="F611" i="2"/>
  <c r="F643" i="2"/>
  <c r="F670" i="2"/>
  <c r="F698" i="2"/>
  <c r="F723" i="2"/>
  <c r="F749" i="2"/>
  <c r="F777" i="2"/>
  <c r="F801" i="2"/>
  <c r="F822" i="2"/>
  <c r="F835" i="2"/>
  <c r="F848" i="2"/>
  <c r="F861" i="2"/>
  <c r="F873" i="2"/>
  <c r="F886" i="2"/>
  <c r="F899" i="2"/>
  <c r="F912" i="2"/>
  <c r="F925" i="2"/>
  <c r="F937" i="2"/>
  <c r="F950" i="2"/>
  <c r="F963" i="2"/>
  <c r="F976" i="2"/>
  <c r="F989" i="2"/>
  <c r="F1001" i="2"/>
  <c r="F1014" i="2"/>
  <c r="F1027" i="2"/>
  <c r="F1040" i="2"/>
  <c r="F1053" i="2"/>
  <c r="F1065" i="2"/>
  <c r="F1078" i="2"/>
  <c r="F1091" i="2"/>
  <c r="F1104" i="2"/>
  <c r="F1117" i="2"/>
  <c r="F1129" i="2"/>
  <c r="F1142" i="2"/>
  <c r="F1155" i="2"/>
  <c r="F1168" i="2"/>
  <c r="F1179" i="2"/>
  <c r="F1187" i="2"/>
  <c r="F1195" i="2"/>
  <c r="F1203" i="2"/>
  <c r="F1211" i="2"/>
  <c r="F1219" i="2"/>
  <c r="F1227" i="2"/>
  <c r="F1235" i="2"/>
  <c r="F1243" i="2"/>
  <c r="F1251" i="2"/>
  <c r="F1259" i="2"/>
  <c r="F1267" i="2"/>
  <c r="F1275" i="2"/>
  <c r="F1283" i="2"/>
  <c r="F1291" i="2"/>
  <c r="F1299" i="2"/>
  <c r="F1307" i="2"/>
  <c r="F1315" i="2"/>
  <c r="F1323" i="2"/>
  <c r="F1331" i="2"/>
  <c r="F1339" i="2"/>
  <c r="F1347" i="2"/>
  <c r="F1355" i="2"/>
  <c r="F1363" i="2"/>
  <c r="F1371" i="2"/>
  <c r="F1379" i="2"/>
  <c r="F1387" i="2"/>
  <c r="F1395" i="2"/>
  <c r="F1403" i="2"/>
  <c r="F1411" i="2"/>
  <c r="F1419" i="2"/>
  <c r="F1427" i="2"/>
  <c r="F1435" i="2"/>
  <c r="F1443" i="2"/>
  <c r="F1451" i="2"/>
  <c r="F1459" i="2"/>
  <c r="F1467" i="2"/>
  <c r="F1475" i="2"/>
  <c r="F1483" i="2"/>
  <c r="F1491" i="2"/>
  <c r="F1499" i="2"/>
  <c r="F1507" i="2"/>
  <c r="F1515" i="2"/>
  <c r="F1523" i="2"/>
  <c r="F1531" i="2"/>
  <c r="F1539" i="2"/>
  <c r="F1547" i="2"/>
  <c r="F1555" i="2"/>
  <c r="F123" i="2"/>
  <c r="F227" i="2"/>
  <c r="F300" i="2"/>
  <c r="F373" i="2"/>
  <c r="F446" i="2"/>
  <c r="F520" i="2"/>
  <c r="F581" i="2"/>
  <c r="F616" i="2"/>
  <c r="F644" i="2"/>
  <c r="F673" i="2"/>
  <c r="F701" i="2"/>
  <c r="F729" i="2"/>
  <c r="F753" i="2"/>
  <c r="F778" i="2"/>
  <c r="F803" i="2"/>
  <c r="F824" i="2"/>
  <c r="F837" i="2"/>
  <c r="F849" i="2"/>
  <c r="F862" i="2"/>
  <c r="F875" i="2"/>
  <c r="F888" i="2"/>
  <c r="F901" i="2"/>
  <c r="F913" i="2"/>
  <c r="F926" i="2"/>
  <c r="F939" i="2"/>
  <c r="F952" i="2"/>
  <c r="F965" i="2"/>
  <c r="F977" i="2"/>
  <c r="F990" i="2"/>
  <c r="F1003" i="2"/>
  <c r="F1016" i="2"/>
  <c r="F1029" i="2"/>
  <c r="F1041" i="2"/>
  <c r="F1054" i="2"/>
  <c r="F1067" i="2"/>
  <c r="F1080" i="2"/>
  <c r="F1093" i="2"/>
  <c r="F125" i="2"/>
  <c r="F232" i="2"/>
  <c r="F305" i="2"/>
  <c r="F378" i="2"/>
  <c r="F451" i="2"/>
  <c r="F524" i="2"/>
  <c r="F588" i="2"/>
  <c r="F618" i="2"/>
  <c r="F648" i="2"/>
  <c r="F680" i="2"/>
  <c r="F705" i="2"/>
  <c r="F730" i="2"/>
  <c r="F755" i="2"/>
  <c r="F781" i="2"/>
  <c r="F809" i="2"/>
  <c r="F825" i="2"/>
  <c r="F838" i="2"/>
  <c r="F851" i="2"/>
  <c r="F864" i="2"/>
  <c r="F877" i="2"/>
  <c r="F889" i="2"/>
  <c r="F902" i="2"/>
  <c r="F915" i="2"/>
  <c r="F928" i="2"/>
  <c r="F941" i="2"/>
  <c r="F953" i="2"/>
  <c r="F966" i="2"/>
  <c r="F979" i="2"/>
  <c r="F992" i="2"/>
  <c r="F1005" i="2"/>
  <c r="F1017" i="2"/>
  <c r="F1030" i="2"/>
  <c r="F1043" i="2"/>
  <c r="F1056" i="2"/>
  <c r="F1069" i="2"/>
  <c r="F1081" i="2"/>
  <c r="F1094" i="2"/>
  <c r="F1107" i="2"/>
  <c r="F1120" i="2"/>
  <c r="F1133" i="2"/>
  <c r="F1145" i="2"/>
  <c r="F1158" i="2"/>
  <c r="F1171" i="2"/>
  <c r="F1181" i="2"/>
  <c r="F1189" i="2"/>
  <c r="F1197" i="2"/>
  <c r="F1205" i="2"/>
  <c r="F1213" i="2"/>
  <c r="F1221" i="2"/>
  <c r="F1229" i="2"/>
  <c r="F1237" i="2"/>
  <c r="F1245" i="2"/>
  <c r="F1253" i="2"/>
  <c r="F1261" i="2"/>
  <c r="F1269" i="2"/>
  <c r="F1277" i="2"/>
  <c r="F1285" i="2"/>
  <c r="F1293" i="2"/>
  <c r="F1301" i="2"/>
  <c r="F1309" i="2"/>
  <c r="F1317" i="2"/>
  <c r="F1325" i="2"/>
  <c r="F1333" i="2"/>
  <c r="F1341" i="2"/>
  <c r="F1349" i="2"/>
  <c r="F1357" i="2"/>
  <c r="F1365" i="2"/>
  <c r="F1373" i="2"/>
  <c r="F1381" i="2"/>
  <c r="F1389" i="2"/>
  <c r="F1397" i="2"/>
  <c r="F1405" i="2"/>
  <c r="F1413" i="2"/>
  <c r="F1421" i="2"/>
  <c r="F1429" i="2"/>
  <c r="F1437" i="2"/>
  <c r="F1445" i="2"/>
  <c r="F1453" i="2"/>
  <c r="F1461" i="2"/>
  <c r="F1469" i="2"/>
  <c r="F1477" i="2"/>
  <c r="F1485" i="2"/>
  <c r="F1493" i="2"/>
  <c r="F1501" i="2"/>
  <c r="F1509" i="2"/>
  <c r="F155" i="2"/>
  <c r="F250" i="2"/>
  <c r="F323" i="2"/>
  <c r="F396" i="2"/>
  <c r="F469" i="2"/>
  <c r="F542" i="2"/>
  <c r="F597" i="2"/>
  <c r="F626" i="2"/>
  <c r="F654" i="2"/>
  <c r="F684" i="2"/>
  <c r="F713" i="2"/>
  <c r="F737" i="2"/>
  <c r="F762" i="2"/>
  <c r="F787" i="2"/>
  <c r="F813" i="2"/>
  <c r="F829" i="2"/>
  <c r="F841" i="2"/>
  <c r="F854" i="2"/>
  <c r="F867" i="2"/>
  <c r="F880" i="2"/>
  <c r="F893" i="2"/>
  <c r="F905" i="2"/>
  <c r="F918" i="2"/>
  <c r="F931" i="2"/>
  <c r="F944" i="2"/>
  <c r="F957" i="2"/>
  <c r="F969" i="2"/>
  <c r="F982" i="2"/>
  <c r="F995" i="2"/>
  <c r="F1008" i="2"/>
  <c r="F1021" i="2"/>
  <c r="F1033" i="2"/>
  <c r="F1046" i="2"/>
  <c r="F1059" i="2"/>
  <c r="F1072" i="2"/>
  <c r="F1085" i="2"/>
  <c r="F1097" i="2"/>
  <c r="F1110" i="2"/>
  <c r="F1123" i="2"/>
  <c r="F1136" i="2"/>
  <c r="F1149" i="2"/>
  <c r="F1161" i="2"/>
  <c r="F1174" i="2"/>
  <c r="F1183" i="2"/>
  <c r="F1191" i="2"/>
  <c r="F1199" i="2"/>
  <c r="F1207" i="2"/>
  <c r="F1215" i="2"/>
  <c r="F1223" i="2"/>
  <c r="F1231" i="2"/>
  <c r="F1239" i="2"/>
  <c r="F1247" i="2"/>
  <c r="F1255" i="2"/>
  <c r="F1263" i="2"/>
  <c r="F1271" i="2"/>
  <c r="F1279" i="2"/>
  <c r="F1287" i="2"/>
  <c r="F1295" i="2"/>
  <c r="F1303" i="2"/>
  <c r="F1311" i="2"/>
  <c r="F1319" i="2"/>
  <c r="F1327" i="2"/>
  <c r="F1335" i="2"/>
  <c r="F1343" i="2"/>
  <c r="F1351" i="2"/>
  <c r="F1359" i="2"/>
  <c r="F1367" i="2"/>
  <c r="F1375" i="2"/>
  <c r="F1383" i="2"/>
  <c r="F1391" i="2"/>
  <c r="F1399" i="2"/>
  <c r="F1407" i="2"/>
  <c r="F1415" i="2"/>
  <c r="F1423" i="2"/>
  <c r="F1431" i="2"/>
  <c r="F1439" i="2"/>
  <c r="F1447" i="2"/>
  <c r="F1455" i="2"/>
  <c r="F1463" i="2"/>
  <c r="F1471" i="2"/>
  <c r="F1479" i="2"/>
  <c r="F1487" i="2"/>
  <c r="F1495" i="2"/>
  <c r="F1503" i="2"/>
  <c r="F1511" i="2"/>
  <c r="F1519" i="2"/>
  <c r="F1527" i="2"/>
  <c r="F1535" i="2"/>
  <c r="F1543" i="2"/>
  <c r="F1551" i="2"/>
  <c r="F152" i="2"/>
  <c r="F652" i="2"/>
  <c r="F733" i="2"/>
  <c r="F797" i="2"/>
  <c r="F845" i="2"/>
  <c r="F878" i="2"/>
  <c r="F910" i="2"/>
  <c r="F947" i="2"/>
  <c r="F981" i="2"/>
  <c r="F1013" i="2"/>
  <c r="F1049" i="2"/>
  <c r="F1083" i="2"/>
  <c r="F1109" i="2"/>
  <c r="F1128" i="2"/>
  <c r="F1150" i="2"/>
  <c r="F1169" i="2"/>
  <c r="F1185" i="2"/>
  <c r="F1198" i="2"/>
  <c r="F1210" i="2"/>
  <c r="F1224" i="2"/>
  <c r="F1236" i="2"/>
  <c r="F1249" i="2"/>
  <c r="F1262" i="2"/>
  <c r="F1274" i="2"/>
  <c r="F1288" i="2"/>
  <c r="F1300" i="2"/>
  <c r="F1313" i="2"/>
  <c r="F1326" i="2"/>
  <c r="F1338" i="2"/>
  <c r="F1352" i="2"/>
  <c r="F1364" i="2"/>
  <c r="F1377" i="2"/>
  <c r="F1390" i="2"/>
  <c r="F1402" i="2"/>
  <c r="F1416" i="2"/>
  <c r="F1428" i="2"/>
  <c r="F1441" i="2"/>
  <c r="F1454" i="2"/>
  <c r="F1466" i="2"/>
  <c r="F1480" i="2"/>
  <c r="F1492" i="2"/>
  <c r="F1505" i="2"/>
  <c r="F1517" i="2"/>
  <c r="F1528" i="2"/>
  <c r="F1538" i="2"/>
  <c r="F1549" i="2"/>
  <c r="F1559" i="2"/>
  <c r="F1567" i="2"/>
  <c r="F1575" i="2"/>
  <c r="F1583" i="2"/>
  <c r="F1591" i="2"/>
  <c r="F1599" i="2"/>
  <c r="F1607" i="2"/>
  <c r="F1615" i="2"/>
  <c r="F1623" i="2"/>
  <c r="F1631" i="2"/>
  <c r="F1639" i="2"/>
  <c r="F1647" i="2"/>
  <c r="F1655" i="2"/>
  <c r="F1663" i="2"/>
  <c r="F1671" i="2"/>
  <c r="F1679" i="2"/>
  <c r="F1687" i="2"/>
  <c r="F1695" i="2"/>
  <c r="F1703" i="2"/>
  <c r="F1711" i="2"/>
  <c r="F1719" i="2"/>
  <c r="F1727" i="2"/>
  <c r="F1735" i="2"/>
  <c r="F1743" i="2"/>
  <c r="F1751" i="2"/>
  <c r="F1759" i="2"/>
  <c r="F1767" i="2"/>
  <c r="F1775" i="2"/>
  <c r="F1783" i="2"/>
  <c r="F1791" i="2"/>
  <c r="F1799" i="2"/>
  <c r="F1807" i="2"/>
  <c r="F1815" i="2"/>
  <c r="F1823" i="2"/>
  <c r="F1831" i="2"/>
  <c r="F1839" i="2"/>
  <c r="F1847" i="2"/>
  <c r="F1855" i="2"/>
  <c r="F1863" i="2"/>
  <c r="F245" i="2"/>
  <c r="F662" i="2"/>
  <c r="F745" i="2"/>
  <c r="F810" i="2"/>
  <c r="F846" i="2"/>
  <c r="F883" i="2"/>
  <c r="F917" i="2"/>
  <c r="F949" i="2"/>
  <c r="F985" i="2"/>
  <c r="F1019" i="2"/>
  <c r="F1051" i="2"/>
  <c r="F1088" i="2"/>
  <c r="F1112" i="2"/>
  <c r="F1131" i="2"/>
  <c r="F1152" i="2"/>
  <c r="F1173" i="2"/>
  <c r="F1186" i="2"/>
  <c r="F1200" i="2"/>
  <c r="F1212" i="2"/>
  <c r="F1225" i="2"/>
  <c r="F1238" i="2"/>
  <c r="F1250" i="2"/>
  <c r="F1264" i="2"/>
  <c r="F1276" i="2"/>
  <c r="F1289" i="2"/>
  <c r="F1302" i="2"/>
  <c r="F1314" i="2"/>
  <c r="F1328" i="2"/>
  <c r="F1340" i="2"/>
  <c r="F1353" i="2"/>
  <c r="F1366" i="2"/>
  <c r="F1378" i="2"/>
  <c r="F1392" i="2"/>
  <c r="F1404" i="2"/>
  <c r="F1417" i="2"/>
  <c r="F1430" i="2"/>
  <c r="F1442" i="2"/>
  <c r="F1456" i="2"/>
  <c r="F1468" i="2"/>
  <c r="F1481" i="2"/>
  <c r="F1494" i="2"/>
  <c r="F1506" i="2"/>
  <c r="F1518" i="2"/>
  <c r="F1529" i="2"/>
  <c r="F1540" i="2"/>
  <c r="F1550" i="2"/>
  <c r="F1560" i="2"/>
  <c r="F1568" i="2"/>
  <c r="F1576" i="2"/>
  <c r="F1584" i="2"/>
  <c r="F1592" i="2"/>
  <c r="F1600" i="2"/>
  <c r="F1608" i="2"/>
  <c r="F1616" i="2"/>
  <c r="F1624" i="2"/>
  <c r="F1632" i="2"/>
  <c r="F1640" i="2"/>
  <c r="F1648" i="2"/>
  <c r="F1656" i="2"/>
  <c r="F1664" i="2"/>
  <c r="F1672" i="2"/>
  <c r="F1680" i="2"/>
  <c r="F1688" i="2"/>
  <c r="F1696" i="2"/>
  <c r="F1704" i="2"/>
  <c r="F1712" i="2"/>
  <c r="F1720" i="2"/>
  <c r="F1728" i="2"/>
  <c r="F1736" i="2"/>
  <c r="F1744" i="2"/>
  <c r="F1752" i="2"/>
  <c r="F1760" i="2"/>
  <c r="F1768" i="2"/>
  <c r="F1776" i="2"/>
  <c r="F1784" i="2"/>
  <c r="F1792" i="2"/>
  <c r="F1800" i="2"/>
  <c r="F1808" i="2"/>
  <c r="F1816" i="2"/>
  <c r="F1824" i="2"/>
  <c r="F1832" i="2"/>
  <c r="F1840" i="2"/>
  <c r="F1848" i="2"/>
  <c r="F1856" i="2"/>
  <c r="F1864" i="2"/>
  <c r="F1872" i="2"/>
  <c r="F1880" i="2"/>
  <c r="F1888" i="2"/>
  <c r="F1896" i="2"/>
  <c r="F1904" i="2"/>
  <c r="F1912" i="2"/>
  <c r="F1920" i="2"/>
  <c r="F1928" i="2"/>
  <c r="F1936" i="2"/>
  <c r="F1944" i="2"/>
  <c r="F1952" i="2"/>
  <c r="F1960" i="2"/>
  <c r="F1968" i="2"/>
  <c r="F1976" i="2"/>
  <c r="F1984" i="2"/>
  <c r="F1992" i="2"/>
  <c r="F2000" i="2"/>
  <c r="F2008" i="2"/>
  <c r="F2016" i="2"/>
  <c r="F2024" i="2"/>
  <c r="F2032" i="2"/>
  <c r="F2040" i="2"/>
  <c r="F2048" i="2"/>
  <c r="F2056" i="2"/>
  <c r="F2064" i="2"/>
  <c r="F2072" i="2"/>
  <c r="F2080" i="2"/>
  <c r="F2088" i="2"/>
  <c r="F2096" i="2"/>
  <c r="F2104" i="2"/>
  <c r="F2112" i="2"/>
  <c r="F2120" i="2"/>
  <c r="F2128" i="2"/>
  <c r="F2136" i="2"/>
  <c r="F2144" i="2"/>
  <c r="F2152" i="2"/>
  <c r="F2160" i="2"/>
  <c r="F2168" i="2"/>
  <c r="F2176" i="2"/>
  <c r="F2184" i="2"/>
  <c r="F2192" i="2"/>
  <c r="F2200" i="2"/>
  <c r="F2208" i="2"/>
  <c r="F2216" i="2"/>
  <c r="F2224" i="2"/>
  <c r="F2232" i="2"/>
  <c r="F2240" i="2"/>
  <c r="F2248" i="2"/>
  <c r="F2256" i="2"/>
  <c r="F2264" i="2"/>
  <c r="F2272" i="2"/>
  <c r="F2280" i="2"/>
  <c r="F2288" i="2"/>
  <c r="F2296" i="2"/>
  <c r="F2304" i="2"/>
  <c r="F2312" i="2"/>
  <c r="F2320" i="2"/>
  <c r="F2328" i="2"/>
  <c r="F2336" i="2"/>
  <c r="F2344" i="2"/>
  <c r="F2352" i="2"/>
  <c r="F2360" i="2"/>
  <c r="F2368" i="2"/>
  <c r="F2376" i="2"/>
  <c r="F2384" i="2"/>
  <c r="F2392" i="2"/>
  <c r="F2400" i="2"/>
  <c r="F2408" i="2"/>
  <c r="F2416" i="2"/>
  <c r="F2424" i="2"/>
  <c r="F2432" i="2"/>
  <c r="F2440" i="2"/>
  <c r="F2448" i="2"/>
  <c r="F2456" i="2"/>
  <c r="F2464" i="2"/>
  <c r="F2472" i="2"/>
  <c r="F2480" i="2"/>
  <c r="F2488" i="2"/>
  <c r="F2496" i="2"/>
  <c r="F2504" i="2"/>
  <c r="F2512" i="2"/>
  <c r="F2520" i="2"/>
  <c r="F2528" i="2"/>
  <c r="F2536" i="2"/>
  <c r="F2544" i="2"/>
  <c r="F318" i="2"/>
  <c r="F681" i="2"/>
  <c r="F746" i="2"/>
  <c r="F819" i="2"/>
  <c r="F853" i="2"/>
  <c r="F885" i="2"/>
  <c r="F921" i="2"/>
  <c r="F955" i="2"/>
  <c r="F987" i="2"/>
  <c r="F1024" i="2"/>
  <c r="F1057" i="2"/>
  <c r="F1089" i="2"/>
  <c r="F1113" i="2"/>
  <c r="F1134" i="2"/>
  <c r="F1153" i="2"/>
  <c r="F1176" i="2"/>
  <c r="F1188" i="2"/>
  <c r="F1201" i="2"/>
  <c r="F1214" i="2"/>
  <c r="F1226" i="2"/>
  <c r="F1240" i="2"/>
  <c r="F1252" i="2"/>
  <c r="F1265" i="2"/>
  <c r="F1278" i="2"/>
  <c r="F1290" i="2"/>
  <c r="F1304" i="2"/>
  <c r="F1316" i="2"/>
  <c r="F1329" i="2"/>
  <c r="F1342" i="2"/>
  <c r="F1354" i="2"/>
  <c r="F1368" i="2"/>
  <c r="F1380" i="2"/>
  <c r="F1393" i="2"/>
  <c r="F1406" i="2"/>
  <c r="F1418" i="2"/>
  <c r="F1432" i="2"/>
  <c r="F1444" i="2"/>
  <c r="F1457" i="2"/>
  <c r="F1470" i="2"/>
  <c r="F1482" i="2"/>
  <c r="F1496" i="2"/>
  <c r="F1508" i="2"/>
  <c r="F1520" i="2"/>
  <c r="F1530" i="2"/>
  <c r="F1541" i="2"/>
  <c r="F1552" i="2"/>
  <c r="F1561" i="2"/>
  <c r="F1569" i="2"/>
  <c r="F1577" i="2"/>
  <c r="F1585" i="2"/>
  <c r="F1593" i="2"/>
  <c r="F1601" i="2"/>
  <c r="F1609" i="2"/>
  <c r="F1617" i="2"/>
  <c r="F1625" i="2"/>
  <c r="F1633" i="2"/>
  <c r="F1641" i="2"/>
  <c r="F1649" i="2"/>
  <c r="F1657" i="2"/>
  <c r="F1665" i="2"/>
  <c r="F1673" i="2"/>
  <c r="F1681" i="2"/>
  <c r="F1689" i="2"/>
  <c r="F1697" i="2"/>
  <c r="F1705" i="2"/>
  <c r="F1713" i="2"/>
  <c r="F1721" i="2"/>
  <c r="F1729" i="2"/>
  <c r="F1737" i="2"/>
  <c r="F1745" i="2"/>
  <c r="F1753" i="2"/>
  <c r="F1761" i="2"/>
  <c r="F1769" i="2"/>
  <c r="F1777" i="2"/>
  <c r="F1785" i="2"/>
  <c r="F1793" i="2"/>
  <c r="F1801" i="2"/>
  <c r="F1809" i="2"/>
  <c r="F1817" i="2"/>
  <c r="F1825" i="2"/>
  <c r="F1833" i="2"/>
  <c r="F1841" i="2"/>
  <c r="F1849" i="2"/>
  <c r="F392" i="2"/>
  <c r="F691" i="2"/>
  <c r="F761" i="2"/>
  <c r="F821" i="2"/>
  <c r="F857" i="2"/>
  <c r="F891" i="2"/>
  <c r="F923" i="2"/>
  <c r="F960" i="2"/>
  <c r="F993" i="2"/>
  <c r="F1025" i="2"/>
  <c r="F1062" i="2"/>
  <c r="F1096" i="2"/>
  <c r="F1115" i="2"/>
  <c r="F1137" i="2"/>
  <c r="F1157" i="2"/>
  <c r="F1177" i="2"/>
  <c r="F1190" i="2"/>
  <c r="F1202" i="2"/>
  <c r="F1216" i="2"/>
  <c r="F1228" i="2"/>
  <c r="F1241" i="2"/>
  <c r="F1254" i="2"/>
  <c r="F1266" i="2"/>
  <c r="F1280" i="2"/>
  <c r="F1292" i="2"/>
  <c r="F1305" i="2"/>
  <c r="F1318" i="2"/>
  <c r="F1330" i="2"/>
  <c r="F1344" i="2"/>
  <c r="F1356" i="2"/>
  <c r="F1369" i="2"/>
  <c r="F1382" i="2"/>
  <c r="F1394" i="2"/>
  <c r="F1408" i="2"/>
  <c r="F1420" i="2"/>
  <c r="F1433" i="2"/>
  <c r="F1446" i="2"/>
  <c r="F1458" i="2"/>
  <c r="F1472" i="2"/>
  <c r="F1484" i="2"/>
  <c r="F1497" i="2"/>
  <c r="F1510" i="2"/>
  <c r="F1521" i="2"/>
  <c r="F1532" i="2"/>
  <c r="F1542" i="2"/>
  <c r="F1553" i="2"/>
  <c r="F1562" i="2"/>
  <c r="F1570" i="2"/>
  <c r="F1578" i="2"/>
  <c r="F1586" i="2"/>
  <c r="F1594" i="2"/>
  <c r="F1602" i="2"/>
  <c r="F1610" i="2"/>
  <c r="F1618" i="2"/>
  <c r="F1626" i="2"/>
  <c r="F1634" i="2"/>
  <c r="F1642" i="2"/>
  <c r="F1650" i="2"/>
  <c r="F1658" i="2"/>
  <c r="F1666" i="2"/>
  <c r="F1674" i="2"/>
  <c r="F1682" i="2"/>
  <c r="F1690" i="2"/>
  <c r="F1698" i="2"/>
  <c r="F1706" i="2"/>
  <c r="F1714" i="2"/>
  <c r="F1722" i="2"/>
  <c r="F1730" i="2"/>
  <c r="F1738" i="2"/>
  <c r="F1746" i="2"/>
  <c r="F1754" i="2"/>
  <c r="F1762" i="2"/>
  <c r="F1770" i="2"/>
  <c r="F1778" i="2"/>
  <c r="F1786" i="2"/>
  <c r="F1794" i="2"/>
  <c r="F1802" i="2"/>
  <c r="F1810" i="2"/>
  <c r="F1818" i="2"/>
  <c r="F1826" i="2"/>
  <c r="F1834" i="2"/>
  <c r="F1842" i="2"/>
  <c r="F1850" i="2"/>
  <c r="F1858" i="2"/>
  <c r="F1866" i="2"/>
  <c r="F1874" i="2"/>
  <c r="F1882" i="2"/>
  <c r="F1890" i="2"/>
  <c r="F1898" i="2"/>
  <c r="F1906" i="2"/>
  <c r="F1914" i="2"/>
  <c r="F1922" i="2"/>
  <c r="F1930" i="2"/>
  <c r="F1938" i="2"/>
  <c r="F1946" i="2"/>
  <c r="F1954" i="2"/>
  <c r="F1962" i="2"/>
  <c r="F1970" i="2"/>
  <c r="F1978" i="2"/>
  <c r="F1986" i="2"/>
  <c r="F1994" i="2"/>
  <c r="F2002" i="2"/>
  <c r="F2010" i="2"/>
  <c r="F2018" i="2"/>
  <c r="F2026" i="2"/>
  <c r="F2034" i="2"/>
  <c r="F2042" i="2"/>
  <c r="F2050" i="2"/>
  <c r="F2058" i="2"/>
  <c r="F2066" i="2"/>
  <c r="F2074" i="2"/>
  <c r="F2082" i="2"/>
  <c r="F2090" i="2"/>
  <c r="F2098" i="2"/>
  <c r="F2106" i="2"/>
  <c r="F2114" i="2"/>
  <c r="F2122" i="2"/>
  <c r="F2130" i="2"/>
  <c r="F2138" i="2"/>
  <c r="F2146" i="2"/>
  <c r="F2154" i="2"/>
  <c r="F2162" i="2"/>
  <c r="F2170" i="2"/>
  <c r="F2178" i="2"/>
  <c r="F2186" i="2"/>
  <c r="F2194" i="2"/>
  <c r="F2202" i="2"/>
  <c r="F2210" i="2"/>
  <c r="F2218" i="2"/>
  <c r="F2226" i="2"/>
  <c r="F2234" i="2"/>
  <c r="F2242" i="2"/>
  <c r="F2250" i="2"/>
  <c r="F2258" i="2"/>
  <c r="F2266" i="2"/>
  <c r="F2274" i="2"/>
  <c r="F2282" i="2"/>
  <c r="F2290" i="2"/>
  <c r="F2298" i="2"/>
  <c r="F2306" i="2"/>
  <c r="F2314" i="2"/>
  <c r="F2322" i="2"/>
  <c r="F2330" i="2"/>
  <c r="F2338" i="2"/>
  <c r="F2346" i="2"/>
  <c r="F2354" i="2"/>
  <c r="F2362" i="2"/>
  <c r="F2370" i="2"/>
  <c r="F2378" i="2"/>
  <c r="F2386" i="2"/>
  <c r="F2394" i="2"/>
  <c r="F2402" i="2"/>
  <c r="F2410" i="2"/>
  <c r="F2418" i="2"/>
  <c r="F2426" i="2"/>
  <c r="F2434" i="2"/>
  <c r="F2442" i="2"/>
  <c r="F2450" i="2"/>
  <c r="F2458" i="2"/>
  <c r="F2466" i="2"/>
  <c r="F2474" i="2"/>
  <c r="F2482" i="2"/>
  <c r="F2490" i="2"/>
  <c r="F465" i="2"/>
  <c r="F697" i="2"/>
  <c r="F769" i="2"/>
  <c r="F827" i="2"/>
  <c r="F859" i="2"/>
  <c r="F896" i="2"/>
  <c r="F929" i="2"/>
  <c r="F961" i="2"/>
  <c r="F998" i="2"/>
  <c r="F1032" i="2"/>
  <c r="F1064" i="2"/>
  <c r="F1099" i="2"/>
  <c r="F1118" i="2"/>
  <c r="F1139" i="2"/>
  <c r="F1160" i="2"/>
  <c r="F1178" i="2"/>
  <c r="F1192" i="2"/>
  <c r="F1204" i="2"/>
  <c r="F1217" i="2"/>
  <c r="F1230" i="2"/>
  <c r="F1242" i="2"/>
  <c r="F1256" i="2"/>
  <c r="F1268" i="2"/>
  <c r="F1281" i="2"/>
  <c r="F1294" i="2"/>
  <c r="F1306" i="2"/>
  <c r="F1320" i="2"/>
  <c r="F1332" i="2"/>
  <c r="F1345" i="2"/>
  <c r="F1358" i="2"/>
  <c r="F1370" i="2"/>
  <c r="F1384" i="2"/>
  <c r="F1396" i="2"/>
  <c r="F1409" i="2"/>
  <c r="F1422" i="2"/>
  <c r="F1434" i="2"/>
  <c r="F1448" i="2"/>
  <c r="F1460" i="2"/>
  <c r="F1473" i="2"/>
  <c r="F1486" i="2"/>
  <c r="F1498" i="2"/>
  <c r="F1512" i="2"/>
  <c r="F1522" i="2"/>
  <c r="F1533" i="2"/>
  <c r="F1544" i="2"/>
  <c r="F1554" i="2"/>
  <c r="F1563" i="2"/>
  <c r="F1571" i="2"/>
  <c r="F1579" i="2"/>
  <c r="F1587" i="2"/>
  <c r="F1595" i="2"/>
  <c r="F1603" i="2"/>
  <c r="F1611" i="2"/>
  <c r="F1619" i="2"/>
  <c r="F1627" i="2"/>
  <c r="F1635" i="2"/>
  <c r="F1643" i="2"/>
  <c r="F1651" i="2"/>
  <c r="F1659" i="2"/>
  <c r="F1667" i="2"/>
  <c r="F1675" i="2"/>
  <c r="F1683" i="2"/>
  <c r="F1691" i="2"/>
  <c r="F1699" i="2"/>
  <c r="F1707" i="2"/>
  <c r="F1715" i="2"/>
  <c r="F1723" i="2"/>
  <c r="F1731" i="2"/>
  <c r="F1739" i="2"/>
  <c r="F1747" i="2"/>
  <c r="F1755" i="2"/>
  <c r="F1763" i="2"/>
  <c r="F1771" i="2"/>
  <c r="F1779" i="2"/>
  <c r="F1787" i="2"/>
  <c r="F1795" i="2"/>
  <c r="F1803" i="2"/>
  <c r="F1811" i="2"/>
  <c r="F1819" i="2"/>
  <c r="F1827" i="2"/>
  <c r="F1835" i="2"/>
  <c r="F1843" i="2"/>
  <c r="F1851" i="2"/>
  <c r="F1859" i="2"/>
  <c r="F1867" i="2"/>
  <c r="F1875" i="2"/>
  <c r="F1883" i="2"/>
  <c r="F1891" i="2"/>
  <c r="F1899" i="2"/>
  <c r="F1907" i="2"/>
  <c r="F1915" i="2"/>
  <c r="F1923" i="2"/>
  <c r="F1931" i="2"/>
  <c r="F1939" i="2"/>
  <c r="F1947" i="2"/>
  <c r="F1955" i="2"/>
  <c r="F1963" i="2"/>
  <c r="F1971" i="2"/>
  <c r="F1979" i="2"/>
  <c r="F1987" i="2"/>
  <c r="F1995" i="2"/>
  <c r="F2003" i="2"/>
  <c r="F2011" i="2"/>
  <c r="F2019" i="2"/>
  <c r="F2027" i="2"/>
  <c r="F2035" i="2"/>
  <c r="F2043" i="2"/>
  <c r="F2051" i="2"/>
  <c r="F2059" i="2"/>
  <c r="F2067" i="2"/>
  <c r="F2075" i="2"/>
  <c r="F2083" i="2"/>
  <c r="F2091" i="2"/>
  <c r="F2099" i="2"/>
  <c r="F2107" i="2"/>
  <c r="F2115" i="2"/>
  <c r="F2123" i="2"/>
  <c r="F2131" i="2"/>
  <c r="F2139" i="2"/>
  <c r="F2147" i="2"/>
  <c r="F2155" i="2"/>
  <c r="F2163" i="2"/>
  <c r="F2171" i="2"/>
  <c r="F2179" i="2"/>
  <c r="F2187" i="2"/>
  <c r="F2195" i="2"/>
  <c r="F2203" i="2"/>
  <c r="F2211" i="2"/>
  <c r="F2219" i="2"/>
  <c r="F2227" i="2"/>
  <c r="F2235" i="2"/>
  <c r="F2243" i="2"/>
  <c r="F2251" i="2"/>
  <c r="F2259" i="2"/>
  <c r="F2267" i="2"/>
  <c r="F2275" i="2"/>
  <c r="F2283" i="2"/>
  <c r="F2291" i="2"/>
  <c r="F2299" i="2"/>
  <c r="F2307" i="2"/>
  <c r="F2315" i="2"/>
  <c r="F2323" i="2"/>
  <c r="F2331" i="2"/>
  <c r="F2339" i="2"/>
  <c r="F2347" i="2"/>
  <c r="F2355" i="2"/>
  <c r="F2363" i="2"/>
  <c r="F2371" i="2"/>
  <c r="F2379" i="2"/>
  <c r="F2387" i="2"/>
  <c r="F2395" i="2"/>
  <c r="F2403" i="2"/>
  <c r="F2411" i="2"/>
  <c r="F2419" i="2"/>
  <c r="F2427" i="2"/>
  <c r="F2435" i="2"/>
  <c r="F2443" i="2"/>
  <c r="F2451" i="2"/>
  <c r="F2459" i="2"/>
  <c r="F2467" i="2"/>
  <c r="F2475" i="2"/>
  <c r="F2483" i="2"/>
  <c r="F2491" i="2"/>
  <c r="F2499" i="2"/>
  <c r="F538" i="2"/>
  <c r="F707" i="2"/>
  <c r="F771" i="2"/>
  <c r="F832" i="2"/>
  <c r="F865" i="2"/>
  <c r="F897" i="2"/>
  <c r="F934" i="2"/>
  <c r="F968" i="2"/>
  <c r="F1000" i="2"/>
  <c r="F1037" i="2"/>
  <c r="F1070" i="2"/>
  <c r="F1101" i="2"/>
  <c r="F1121" i="2"/>
  <c r="F1141" i="2"/>
  <c r="F1163" i="2"/>
  <c r="F1180" i="2"/>
  <c r="F1193" i="2"/>
  <c r="F1206" i="2"/>
  <c r="F1218" i="2"/>
  <c r="F1232" i="2"/>
  <c r="F1244" i="2"/>
  <c r="F1257" i="2"/>
  <c r="F1270" i="2"/>
  <c r="F1282" i="2"/>
  <c r="F1296" i="2"/>
  <c r="F1308" i="2"/>
  <c r="F1321" i="2"/>
  <c r="F1334" i="2"/>
  <c r="F1346" i="2"/>
  <c r="F1360" i="2"/>
  <c r="F1372" i="2"/>
  <c r="F1385" i="2"/>
  <c r="F1398" i="2"/>
  <c r="F1410" i="2"/>
  <c r="F1424" i="2"/>
  <c r="F1436" i="2"/>
  <c r="F1449" i="2"/>
  <c r="F1462" i="2"/>
  <c r="F1474" i="2"/>
  <c r="F1488" i="2"/>
  <c r="F1500" i="2"/>
  <c r="F1513" i="2"/>
  <c r="F1524" i="2"/>
  <c r="F1534" i="2"/>
  <c r="F1545" i="2"/>
  <c r="F1556" i="2"/>
  <c r="F1564" i="2"/>
  <c r="F1572" i="2"/>
  <c r="F1580" i="2"/>
  <c r="F1588" i="2"/>
  <c r="F1596" i="2"/>
  <c r="F1604" i="2"/>
  <c r="F1612" i="2"/>
  <c r="F1620" i="2"/>
  <c r="F1628" i="2"/>
  <c r="F1636" i="2"/>
  <c r="F1644" i="2"/>
  <c r="F1652" i="2"/>
  <c r="F1660" i="2"/>
  <c r="F1668" i="2"/>
  <c r="F1676" i="2"/>
  <c r="F1684" i="2"/>
  <c r="F1692" i="2"/>
  <c r="F1700" i="2"/>
  <c r="F1708" i="2"/>
  <c r="F1716" i="2"/>
  <c r="F1724" i="2"/>
  <c r="F1732" i="2"/>
  <c r="F1740" i="2"/>
  <c r="F1748" i="2"/>
  <c r="F1756" i="2"/>
  <c r="F1764" i="2"/>
  <c r="F1772" i="2"/>
  <c r="F1780" i="2"/>
  <c r="F1788" i="2"/>
  <c r="F1796" i="2"/>
  <c r="F1804" i="2"/>
  <c r="F1812" i="2"/>
  <c r="F1820" i="2"/>
  <c r="F1828" i="2"/>
  <c r="F1836" i="2"/>
  <c r="F1844" i="2"/>
  <c r="F1852" i="2"/>
  <c r="F1860" i="2"/>
  <c r="F1868" i="2"/>
  <c r="F1876" i="2"/>
  <c r="F1884" i="2"/>
  <c r="F1892" i="2"/>
  <c r="F1900" i="2"/>
  <c r="F1908" i="2"/>
  <c r="F1916" i="2"/>
  <c r="F1924" i="2"/>
  <c r="F1932" i="2"/>
  <c r="F1940" i="2"/>
  <c r="F1948" i="2"/>
  <c r="F1956" i="2"/>
  <c r="F1964" i="2"/>
  <c r="F1972" i="2"/>
  <c r="F1980" i="2"/>
  <c r="F1988" i="2"/>
  <c r="F1996" i="2"/>
  <c r="F2004" i="2"/>
  <c r="F2012" i="2"/>
  <c r="F2020" i="2"/>
  <c r="F2028" i="2"/>
  <c r="F2036" i="2"/>
  <c r="F2044" i="2"/>
  <c r="F2052" i="2"/>
  <c r="F2060" i="2"/>
  <c r="F2068" i="2"/>
  <c r="F2076" i="2"/>
  <c r="F2084" i="2"/>
  <c r="F2092" i="2"/>
  <c r="F2100" i="2"/>
  <c r="F2108" i="2"/>
  <c r="F2116" i="2"/>
  <c r="F2124" i="2"/>
  <c r="F2132" i="2"/>
  <c r="F2140" i="2"/>
  <c r="F2148" i="2"/>
  <c r="F2156" i="2"/>
  <c r="F2164" i="2"/>
  <c r="F2172" i="2"/>
  <c r="F2180" i="2"/>
  <c r="F2188" i="2"/>
  <c r="F2196" i="2"/>
  <c r="F2204" i="2"/>
  <c r="F2212" i="2"/>
  <c r="F2220" i="2"/>
  <c r="F2228" i="2"/>
  <c r="F2236" i="2"/>
  <c r="F2244" i="2"/>
  <c r="F2252" i="2"/>
  <c r="F2260" i="2"/>
  <c r="F2268" i="2"/>
  <c r="F2276" i="2"/>
  <c r="F2284" i="2"/>
  <c r="F2292" i="2"/>
  <c r="F2300" i="2"/>
  <c r="F2308" i="2"/>
  <c r="F2316" i="2"/>
  <c r="F2324" i="2"/>
  <c r="F2332" i="2"/>
  <c r="F2340" i="2"/>
  <c r="F2348" i="2"/>
  <c r="F2356" i="2"/>
  <c r="F2364" i="2"/>
  <c r="F2372" i="2"/>
  <c r="F2380" i="2"/>
  <c r="F2388" i="2"/>
  <c r="F2396" i="2"/>
  <c r="F2404" i="2"/>
  <c r="F2412" i="2"/>
  <c r="F2420" i="2"/>
  <c r="F2428" i="2"/>
  <c r="F2436" i="2"/>
  <c r="F2444" i="2"/>
  <c r="F2452" i="2"/>
  <c r="F2460" i="2"/>
  <c r="F2468" i="2"/>
  <c r="F2476" i="2"/>
  <c r="F625" i="2"/>
  <c r="F721" i="2"/>
  <c r="F794" i="2"/>
  <c r="F840" i="2"/>
  <c r="F872" i="2"/>
  <c r="F909" i="2"/>
  <c r="F942" i="2"/>
  <c r="F974" i="2"/>
  <c r="F1011" i="2"/>
  <c r="F1045" i="2"/>
  <c r="F1077" i="2"/>
  <c r="F1105" i="2"/>
  <c r="F1126" i="2"/>
  <c r="F1147" i="2"/>
  <c r="F1166" i="2"/>
  <c r="F1184" i="2"/>
  <c r="F1196" i="2"/>
  <c r="F1209" i="2"/>
  <c r="F1222" i="2"/>
  <c r="F1234" i="2"/>
  <c r="F1248" i="2"/>
  <c r="F1260" i="2"/>
  <c r="F1273" i="2"/>
  <c r="F1286" i="2"/>
  <c r="F1298" i="2"/>
  <c r="F1312" i="2"/>
  <c r="F1324" i="2"/>
  <c r="F1337" i="2"/>
  <c r="F1350" i="2"/>
  <c r="F1362" i="2"/>
  <c r="F1376" i="2"/>
  <c r="F1388" i="2"/>
  <c r="F1401" i="2"/>
  <c r="F1414" i="2"/>
  <c r="F1426" i="2"/>
  <c r="F1440" i="2"/>
  <c r="F1452" i="2"/>
  <c r="F1465" i="2"/>
  <c r="F1478" i="2"/>
  <c r="F1490" i="2"/>
  <c r="F1504" i="2"/>
  <c r="F1516" i="2"/>
  <c r="F1526" i="2"/>
  <c r="F1537" i="2"/>
  <c r="F1548" i="2"/>
  <c r="F1558" i="2"/>
  <c r="F1566" i="2"/>
  <c r="F1574" i="2"/>
  <c r="F1582" i="2"/>
  <c r="F1590" i="2"/>
  <c r="F1598" i="2"/>
  <c r="F1606" i="2"/>
  <c r="F1614" i="2"/>
  <c r="F1622" i="2"/>
  <c r="F1630" i="2"/>
  <c r="F1638" i="2"/>
  <c r="F1646" i="2"/>
  <c r="F1654" i="2"/>
  <c r="F1662" i="2"/>
  <c r="F1670" i="2"/>
  <c r="F1678" i="2"/>
  <c r="F1686" i="2"/>
  <c r="F1694" i="2"/>
  <c r="F1702" i="2"/>
  <c r="F1710" i="2"/>
  <c r="F1718" i="2"/>
  <c r="F1726" i="2"/>
  <c r="F1734" i="2"/>
  <c r="F1742" i="2"/>
  <c r="F1750" i="2"/>
  <c r="F1758" i="2"/>
  <c r="F1766" i="2"/>
  <c r="F1774" i="2"/>
  <c r="F1782" i="2"/>
  <c r="F1790" i="2"/>
  <c r="F1798" i="2"/>
  <c r="F1806" i="2"/>
  <c r="F1814" i="2"/>
  <c r="F1822" i="2"/>
  <c r="F1830" i="2"/>
  <c r="F1838" i="2"/>
  <c r="F1846" i="2"/>
  <c r="F1854" i="2"/>
  <c r="F1862" i="2"/>
  <c r="F1870" i="2"/>
  <c r="F1878" i="2"/>
  <c r="F1886" i="2"/>
  <c r="F1894" i="2"/>
  <c r="F1902" i="2"/>
  <c r="F1910" i="2"/>
  <c r="F1918" i="2"/>
  <c r="F1926" i="2"/>
  <c r="F1934" i="2"/>
  <c r="F1942" i="2"/>
  <c r="F1950" i="2"/>
  <c r="F1958" i="2"/>
  <c r="F1966" i="2"/>
  <c r="F1974" i="2"/>
  <c r="F1982" i="2"/>
  <c r="F1990" i="2"/>
  <c r="F1998" i="2"/>
  <c r="F2006" i="2"/>
  <c r="F2014" i="2"/>
  <c r="F2022" i="2"/>
  <c r="F2030" i="2"/>
  <c r="F2038" i="2"/>
  <c r="F2046" i="2"/>
  <c r="F2054" i="2"/>
  <c r="F2062" i="2"/>
  <c r="F2070" i="2"/>
  <c r="F2078" i="2"/>
  <c r="F2086" i="2"/>
  <c r="F2094" i="2"/>
  <c r="F2102" i="2"/>
  <c r="F2110" i="2"/>
  <c r="F2118" i="2"/>
  <c r="F2126" i="2"/>
  <c r="F2134" i="2"/>
  <c r="F2142" i="2"/>
  <c r="F2150" i="2"/>
  <c r="F2158" i="2"/>
  <c r="F2166" i="2"/>
  <c r="F2174" i="2"/>
  <c r="F2182" i="2"/>
  <c r="F2190" i="2"/>
  <c r="F2198" i="2"/>
  <c r="F2206" i="2"/>
  <c r="F2214" i="2"/>
  <c r="F2222" i="2"/>
  <c r="F2230" i="2"/>
  <c r="F2238" i="2"/>
  <c r="F2246" i="2"/>
  <c r="F2254" i="2"/>
  <c r="F2262" i="2"/>
  <c r="F2270" i="2"/>
  <c r="F2278" i="2"/>
  <c r="F2286" i="2"/>
  <c r="F2294" i="2"/>
  <c r="F2302" i="2"/>
  <c r="F2310" i="2"/>
  <c r="F2318" i="2"/>
  <c r="F2326" i="2"/>
  <c r="F2334" i="2"/>
  <c r="F2342" i="2"/>
  <c r="F2350" i="2"/>
  <c r="F2358" i="2"/>
  <c r="F2366" i="2"/>
  <c r="F2374" i="2"/>
  <c r="F2382" i="2"/>
  <c r="F2390" i="2"/>
  <c r="F2398" i="2"/>
  <c r="F2406" i="2"/>
  <c r="F2414" i="2"/>
  <c r="F2422" i="2"/>
  <c r="F2430" i="2"/>
  <c r="F2438" i="2"/>
  <c r="F2446" i="2"/>
  <c r="F2454" i="2"/>
  <c r="F2462" i="2"/>
  <c r="F2470" i="2"/>
  <c r="F2478" i="2"/>
  <c r="F2486" i="2"/>
  <c r="F2494" i="2"/>
  <c r="F2502" i="2"/>
  <c r="F593" i="2"/>
  <c r="F1006" i="2"/>
  <c r="F1194" i="2"/>
  <c r="F1297" i="2"/>
  <c r="F1400" i="2"/>
  <c r="F1502" i="2"/>
  <c r="F1581" i="2"/>
  <c r="F1645" i="2"/>
  <c r="F1709" i="2"/>
  <c r="F1773" i="2"/>
  <c r="F1837" i="2"/>
  <c r="F1873" i="2"/>
  <c r="F1895" i="2"/>
  <c r="F1917" i="2"/>
  <c r="F1937" i="2"/>
  <c r="F1959" i="2"/>
  <c r="F1981" i="2"/>
  <c r="F2001" i="2"/>
  <c r="F2023" i="2"/>
  <c r="F2045" i="2"/>
  <c r="F2065" i="2"/>
  <c r="F2087" i="2"/>
  <c r="F2109" i="2"/>
  <c r="F2129" i="2"/>
  <c r="F2151" i="2"/>
  <c r="F2173" i="2"/>
  <c r="F2193" i="2"/>
  <c r="F2215" i="2"/>
  <c r="F2237" i="2"/>
  <c r="F2257" i="2"/>
  <c r="F2279" i="2"/>
  <c r="F2301" i="2"/>
  <c r="F2321" i="2"/>
  <c r="F2343" i="2"/>
  <c r="F2365" i="2"/>
  <c r="F2385" i="2"/>
  <c r="F2407" i="2"/>
  <c r="F2429" i="2"/>
  <c r="F2449" i="2"/>
  <c r="F2471" i="2"/>
  <c r="F2489" i="2"/>
  <c r="F2503" i="2"/>
  <c r="F2513" i="2"/>
  <c r="F2522" i="2"/>
  <c r="F2531" i="2"/>
  <c r="F2540" i="2"/>
  <c r="F2549" i="2"/>
  <c r="F2557" i="2"/>
  <c r="F2565" i="2"/>
  <c r="F2573" i="2"/>
  <c r="F2581" i="2"/>
  <c r="F2589" i="2"/>
  <c r="F2597" i="2"/>
  <c r="F2605" i="2"/>
  <c r="F2613" i="2"/>
  <c r="F2621" i="2"/>
  <c r="F2629" i="2"/>
  <c r="F2637" i="2"/>
  <c r="F2645" i="2"/>
  <c r="F2653" i="2"/>
  <c r="F2661" i="2"/>
  <c r="F2669" i="2"/>
  <c r="F2677" i="2"/>
  <c r="F2685" i="2"/>
  <c r="F2693" i="2"/>
  <c r="F2701" i="2"/>
  <c r="F2709" i="2"/>
  <c r="F2717" i="2"/>
  <c r="F2725" i="2"/>
  <c r="F2733" i="2"/>
  <c r="F2741" i="2"/>
  <c r="F2749" i="2"/>
  <c r="F2757" i="2"/>
  <c r="F2765" i="2"/>
  <c r="F2773" i="2"/>
  <c r="F2781" i="2"/>
  <c r="F2789" i="2"/>
  <c r="F2797" i="2"/>
  <c r="F2805" i="2"/>
  <c r="F2813" i="2"/>
  <c r="F2821" i="2"/>
  <c r="F2829" i="2"/>
  <c r="F2837" i="2"/>
  <c r="F2845" i="2"/>
  <c r="F2853" i="2"/>
  <c r="F2861" i="2"/>
  <c r="F2869" i="2"/>
  <c r="F2877" i="2"/>
  <c r="F2885" i="2"/>
  <c r="F2893" i="2"/>
  <c r="F2901" i="2"/>
  <c r="F2909" i="2"/>
  <c r="F2917" i="2"/>
  <c r="F2925" i="2"/>
  <c r="F2933" i="2"/>
  <c r="F2941" i="2"/>
  <c r="F2949" i="2"/>
  <c r="F2957" i="2"/>
  <c r="F2965" i="2"/>
  <c r="F2973" i="2"/>
  <c r="F2981" i="2"/>
  <c r="F2989" i="2"/>
  <c r="F2997" i="2"/>
  <c r="F3005" i="2"/>
  <c r="F936" i="2"/>
  <c r="F1272" i="2"/>
  <c r="F1565" i="2"/>
  <c r="F1693" i="2"/>
  <c r="F1821" i="2"/>
  <c r="F1889" i="2"/>
  <c r="F1933" i="2"/>
  <c r="F1975" i="2"/>
  <c r="F2017" i="2"/>
  <c r="F2039" i="2"/>
  <c r="F2103" i="2"/>
  <c r="F2145" i="2"/>
  <c r="F2189" i="2"/>
  <c r="F2231" i="2"/>
  <c r="F2273" i="2"/>
  <c r="F2317" i="2"/>
  <c r="F2359" i="2"/>
  <c r="F2401" i="2"/>
  <c r="F2445" i="2"/>
  <c r="F2485" i="2"/>
  <c r="F2510" i="2"/>
  <c r="F2519" i="2"/>
  <c r="F2547" i="2"/>
  <c r="F2563" i="2"/>
  <c r="F2579" i="2"/>
  <c r="F2595" i="2"/>
  <c r="F2611" i="2"/>
  <c r="F2627" i="2"/>
  <c r="F2643" i="2"/>
  <c r="F2659" i="2"/>
  <c r="F2683" i="2"/>
  <c r="F2699" i="2"/>
  <c r="F2707" i="2"/>
  <c r="F2723" i="2"/>
  <c r="F2739" i="2"/>
  <c r="F2755" i="2"/>
  <c r="F2763" i="2"/>
  <c r="F2795" i="2"/>
  <c r="F2811" i="2"/>
  <c r="F2827" i="2"/>
  <c r="F2843" i="2"/>
  <c r="F2859" i="2"/>
  <c r="F2875" i="2"/>
  <c r="F2891" i="2"/>
  <c r="F2907" i="2"/>
  <c r="F2923" i="2"/>
  <c r="F2939" i="2"/>
  <c r="F2955" i="2"/>
  <c r="F2971" i="2"/>
  <c r="F2987" i="2"/>
  <c r="F3003" i="2"/>
  <c r="F717" i="2"/>
  <c r="F1038" i="2"/>
  <c r="F1208" i="2"/>
  <c r="F1310" i="2"/>
  <c r="F1412" i="2"/>
  <c r="F1514" i="2"/>
  <c r="F1589" i="2"/>
  <c r="F1653" i="2"/>
  <c r="F1717" i="2"/>
  <c r="F1781" i="2"/>
  <c r="F1845" i="2"/>
  <c r="F1877" i="2"/>
  <c r="F1897" i="2"/>
  <c r="F1919" i="2"/>
  <c r="F1941" i="2"/>
  <c r="F1961" i="2"/>
  <c r="F1983" i="2"/>
  <c r="F2005" i="2"/>
  <c r="F2025" i="2"/>
  <c r="F2047" i="2"/>
  <c r="F2069" i="2"/>
  <c r="F2089" i="2"/>
  <c r="F2111" i="2"/>
  <c r="F2133" i="2"/>
  <c r="F2153" i="2"/>
  <c r="F2175" i="2"/>
  <c r="F2197" i="2"/>
  <c r="F2217" i="2"/>
  <c r="F2239" i="2"/>
  <c r="F2261" i="2"/>
  <c r="F2281" i="2"/>
  <c r="F2303" i="2"/>
  <c r="F2325" i="2"/>
  <c r="F2345" i="2"/>
  <c r="F2367" i="2"/>
  <c r="F2389" i="2"/>
  <c r="F2409" i="2"/>
  <c r="F2431" i="2"/>
  <c r="F2453" i="2"/>
  <c r="F2473" i="2"/>
  <c r="F2492" i="2"/>
  <c r="F2505" i="2"/>
  <c r="F2514" i="2"/>
  <c r="F2523" i="2"/>
  <c r="F2532" i="2"/>
  <c r="F2541" i="2"/>
  <c r="F2550" i="2"/>
  <c r="F2558" i="2"/>
  <c r="F2566" i="2"/>
  <c r="F2574" i="2"/>
  <c r="F2582" i="2"/>
  <c r="F2590" i="2"/>
  <c r="F2598" i="2"/>
  <c r="F2606" i="2"/>
  <c r="F2614" i="2"/>
  <c r="F2622" i="2"/>
  <c r="F2630" i="2"/>
  <c r="F2638" i="2"/>
  <c r="F2646" i="2"/>
  <c r="F2654" i="2"/>
  <c r="F2662" i="2"/>
  <c r="F2670" i="2"/>
  <c r="F2678" i="2"/>
  <c r="F2686" i="2"/>
  <c r="F2694" i="2"/>
  <c r="F2702" i="2"/>
  <c r="F2710" i="2"/>
  <c r="F2718" i="2"/>
  <c r="F2726" i="2"/>
  <c r="F2734" i="2"/>
  <c r="F2742" i="2"/>
  <c r="F2750" i="2"/>
  <c r="F2758" i="2"/>
  <c r="F2766" i="2"/>
  <c r="F2774" i="2"/>
  <c r="F2782" i="2"/>
  <c r="F2790" i="2"/>
  <c r="F2798" i="2"/>
  <c r="F2806" i="2"/>
  <c r="F2814" i="2"/>
  <c r="F2822" i="2"/>
  <c r="F2830" i="2"/>
  <c r="F2838" i="2"/>
  <c r="F2846" i="2"/>
  <c r="F2854" i="2"/>
  <c r="F2862" i="2"/>
  <c r="F2870" i="2"/>
  <c r="F2878" i="2"/>
  <c r="F2886" i="2"/>
  <c r="F2894" i="2"/>
  <c r="F2902" i="2"/>
  <c r="F2910" i="2"/>
  <c r="F2918" i="2"/>
  <c r="F2926" i="2"/>
  <c r="F2934" i="2"/>
  <c r="F2942" i="2"/>
  <c r="F2950" i="2"/>
  <c r="F2958" i="2"/>
  <c r="F2966" i="2"/>
  <c r="F2974" i="2"/>
  <c r="F2982" i="2"/>
  <c r="F2990" i="2"/>
  <c r="F2998" i="2"/>
  <c r="F3006" i="2"/>
  <c r="F785" i="2"/>
  <c r="F1075" i="2"/>
  <c r="F1220" i="2"/>
  <c r="F1322" i="2"/>
  <c r="F1425" i="2"/>
  <c r="F1525" i="2"/>
  <c r="F1597" i="2"/>
  <c r="F1661" i="2"/>
  <c r="F1725" i="2"/>
  <c r="F1789" i="2"/>
  <c r="F1853" i="2"/>
  <c r="F1879" i="2"/>
  <c r="F1901" i="2"/>
  <c r="F1921" i="2"/>
  <c r="F1943" i="2"/>
  <c r="F1965" i="2"/>
  <c r="F1985" i="2"/>
  <c r="F2007" i="2"/>
  <c r="F2029" i="2"/>
  <c r="F2049" i="2"/>
  <c r="F2071" i="2"/>
  <c r="F2093" i="2"/>
  <c r="F2113" i="2"/>
  <c r="F2135" i="2"/>
  <c r="F2157" i="2"/>
  <c r="F2177" i="2"/>
  <c r="F2199" i="2"/>
  <c r="F2221" i="2"/>
  <c r="F2241" i="2"/>
  <c r="F2263" i="2"/>
  <c r="F2285" i="2"/>
  <c r="F2305" i="2"/>
  <c r="F2327" i="2"/>
  <c r="F2349" i="2"/>
  <c r="F2369" i="2"/>
  <c r="F2391" i="2"/>
  <c r="F2413" i="2"/>
  <c r="F2433" i="2"/>
  <c r="F2455" i="2"/>
  <c r="F2477" i="2"/>
  <c r="F2493" i="2"/>
  <c r="F2506" i="2"/>
  <c r="F2515" i="2"/>
  <c r="F2524" i="2"/>
  <c r="F2533" i="2"/>
  <c r="F2542" i="2"/>
  <c r="F2551" i="2"/>
  <c r="F2559" i="2"/>
  <c r="F2567" i="2"/>
  <c r="F2575" i="2"/>
  <c r="F2583" i="2"/>
  <c r="F2591" i="2"/>
  <c r="F2599" i="2"/>
  <c r="F2607" i="2"/>
  <c r="F2615" i="2"/>
  <c r="F2623" i="2"/>
  <c r="F2631" i="2"/>
  <c r="F2639" i="2"/>
  <c r="F2647" i="2"/>
  <c r="F2655" i="2"/>
  <c r="F2663" i="2"/>
  <c r="F2671" i="2"/>
  <c r="F2679" i="2"/>
  <c r="F2687" i="2"/>
  <c r="F2695" i="2"/>
  <c r="F2703" i="2"/>
  <c r="F2711" i="2"/>
  <c r="F2719" i="2"/>
  <c r="F2727" i="2"/>
  <c r="F2735" i="2"/>
  <c r="F2743" i="2"/>
  <c r="F2751" i="2"/>
  <c r="F2759" i="2"/>
  <c r="F2767" i="2"/>
  <c r="F2775" i="2"/>
  <c r="F2783" i="2"/>
  <c r="F2791" i="2"/>
  <c r="F2799" i="2"/>
  <c r="F2807" i="2"/>
  <c r="F2815" i="2"/>
  <c r="F2823" i="2"/>
  <c r="F2831" i="2"/>
  <c r="F2839" i="2"/>
  <c r="F2847" i="2"/>
  <c r="F2855" i="2"/>
  <c r="F2863" i="2"/>
  <c r="F2871" i="2"/>
  <c r="F2879" i="2"/>
  <c r="F2887" i="2"/>
  <c r="F2895" i="2"/>
  <c r="F2903" i="2"/>
  <c r="F2911" i="2"/>
  <c r="F2919" i="2"/>
  <c r="F2927" i="2"/>
  <c r="F2935" i="2"/>
  <c r="F2943" i="2"/>
  <c r="F2951" i="2"/>
  <c r="F2959" i="2"/>
  <c r="F2967" i="2"/>
  <c r="F2975" i="2"/>
  <c r="F2983" i="2"/>
  <c r="F2991" i="2"/>
  <c r="F2999" i="2"/>
  <c r="F1165" i="2"/>
  <c r="F1374" i="2"/>
  <c r="F1476" i="2"/>
  <c r="F1629" i="2"/>
  <c r="F1757" i="2"/>
  <c r="F1869" i="2"/>
  <c r="F1911" i="2"/>
  <c r="F1953" i="2"/>
  <c r="F1997" i="2"/>
  <c r="F2061" i="2"/>
  <c r="F2081" i="2"/>
  <c r="F2125" i="2"/>
  <c r="F2167" i="2"/>
  <c r="F2209" i="2"/>
  <c r="F2253" i="2"/>
  <c r="F2295" i="2"/>
  <c r="F2337" i="2"/>
  <c r="F2381" i="2"/>
  <c r="F2423" i="2"/>
  <c r="F2465" i="2"/>
  <c r="F2500" i="2"/>
  <c r="F2529" i="2"/>
  <c r="F2538" i="2"/>
  <c r="F2555" i="2"/>
  <c r="F2571" i="2"/>
  <c r="F2587" i="2"/>
  <c r="F2603" i="2"/>
  <c r="F2619" i="2"/>
  <c r="F2635" i="2"/>
  <c r="F2651" i="2"/>
  <c r="F2667" i="2"/>
  <c r="F2675" i="2"/>
  <c r="F2691" i="2"/>
  <c r="F2715" i="2"/>
  <c r="F2731" i="2"/>
  <c r="F2747" i="2"/>
  <c r="F2771" i="2"/>
  <c r="F2779" i="2"/>
  <c r="F2787" i="2"/>
  <c r="F2803" i="2"/>
  <c r="F2819" i="2"/>
  <c r="F2835" i="2"/>
  <c r="F2851" i="2"/>
  <c r="F2867" i="2"/>
  <c r="F2883" i="2"/>
  <c r="F2899" i="2"/>
  <c r="F2915" i="2"/>
  <c r="F2931" i="2"/>
  <c r="F2947" i="2"/>
  <c r="F2963" i="2"/>
  <c r="F2979" i="2"/>
  <c r="F2995" i="2"/>
  <c r="F833" i="2"/>
  <c r="F1102" i="2"/>
  <c r="F1233" i="2"/>
  <c r="F1336" i="2"/>
  <c r="F1438" i="2"/>
  <c r="F1536" i="2"/>
  <c r="F1605" i="2"/>
  <c r="F1669" i="2"/>
  <c r="F1733" i="2"/>
  <c r="F1797" i="2"/>
  <c r="F1857" i="2"/>
  <c r="F1881" i="2"/>
  <c r="F1903" i="2"/>
  <c r="F1925" i="2"/>
  <c r="F1945" i="2"/>
  <c r="F1967" i="2"/>
  <c r="F1989" i="2"/>
  <c r="F2009" i="2"/>
  <c r="F2031" i="2"/>
  <c r="F2053" i="2"/>
  <c r="F2073" i="2"/>
  <c r="F2095" i="2"/>
  <c r="F2117" i="2"/>
  <c r="F2137" i="2"/>
  <c r="F2159" i="2"/>
  <c r="F2181" i="2"/>
  <c r="F2201" i="2"/>
  <c r="F2223" i="2"/>
  <c r="F2245" i="2"/>
  <c r="F2265" i="2"/>
  <c r="F2287" i="2"/>
  <c r="F2309" i="2"/>
  <c r="F2329" i="2"/>
  <c r="F2351" i="2"/>
  <c r="F2373" i="2"/>
  <c r="F2393" i="2"/>
  <c r="F2415" i="2"/>
  <c r="F2437" i="2"/>
  <c r="F2457" i="2"/>
  <c r="F2479" i="2"/>
  <c r="F2495" i="2"/>
  <c r="F2507" i="2"/>
  <c r="F2516" i="2"/>
  <c r="F2525" i="2"/>
  <c r="F2534" i="2"/>
  <c r="F2543" i="2"/>
  <c r="F2552" i="2"/>
  <c r="F2560" i="2"/>
  <c r="F2568" i="2"/>
  <c r="F2576" i="2"/>
  <c r="F2584" i="2"/>
  <c r="F2592" i="2"/>
  <c r="F2600" i="2"/>
  <c r="F2608" i="2"/>
  <c r="F2616" i="2"/>
  <c r="F2624" i="2"/>
  <c r="F2632" i="2"/>
  <c r="F2640" i="2"/>
  <c r="F2648" i="2"/>
  <c r="F2656" i="2"/>
  <c r="F2664" i="2"/>
  <c r="F2672" i="2"/>
  <c r="F2680" i="2"/>
  <c r="F2688" i="2"/>
  <c r="F2696" i="2"/>
  <c r="F2704" i="2"/>
  <c r="F2712" i="2"/>
  <c r="F2720" i="2"/>
  <c r="F2728" i="2"/>
  <c r="F2736" i="2"/>
  <c r="F2744" i="2"/>
  <c r="F2752" i="2"/>
  <c r="F2760" i="2"/>
  <c r="F2768" i="2"/>
  <c r="F2776" i="2"/>
  <c r="F2784" i="2"/>
  <c r="F2792" i="2"/>
  <c r="F2800" i="2"/>
  <c r="F2808" i="2"/>
  <c r="F2816" i="2"/>
  <c r="F2824" i="2"/>
  <c r="F2832" i="2"/>
  <c r="F2840" i="2"/>
  <c r="F2848" i="2"/>
  <c r="F2856" i="2"/>
  <c r="F2864" i="2"/>
  <c r="F2872" i="2"/>
  <c r="F2880" i="2"/>
  <c r="F2888" i="2"/>
  <c r="F2896" i="2"/>
  <c r="F2904" i="2"/>
  <c r="F2912" i="2"/>
  <c r="F2920" i="2"/>
  <c r="F2928" i="2"/>
  <c r="F2936" i="2"/>
  <c r="F2944" i="2"/>
  <c r="F2952" i="2"/>
  <c r="F2960" i="2"/>
  <c r="F2968" i="2"/>
  <c r="F2976" i="2"/>
  <c r="F2984" i="2"/>
  <c r="F2992" i="2"/>
  <c r="F3000" i="2"/>
  <c r="F870" i="2"/>
  <c r="F1125" i="2"/>
  <c r="F1246" i="2"/>
  <c r="F1348" i="2"/>
  <c r="F1450" i="2"/>
  <c r="F1546" i="2"/>
  <c r="F1613" i="2"/>
  <c r="F1677" i="2"/>
  <c r="F1741" i="2"/>
  <c r="F1805" i="2"/>
  <c r="F1861" i="2"/>
  <c r="F1885" i="2"/>
  <c r="F1905" i="2"/>
  <c r="F1927" i="2"/>
  <c r="F1949" i="2"/>
  <c r="F1969" i="2"/>
  <c r="F1991" i="2"/>
  <c r="F2013" i="2"/>
  <c r="F2033" i="2"/>
  <c r="F2055" i="2"/>
  <c r="F2077" i="2"/>
  <c r="F2097" i="2"/>
  <c r="F2119" i="2"/>
  <c r="F2141" i="2"/>
  <c r="F2161" i="2"/>
  <c r="F2183" i="2"/>
  <c r="F2205" i="2"/>
  <c r="F2225" i="2"/>
  <c r="F2247" i="2"/>
  <c r="F2269" i="2"/>
  <c r="F2289" i="2"/>
  <c r="F2311" i="2"/>
  <c r="F2333" i="2"/>
  <c r="F2353" i="2"/>
  <c r="F2375" i="2"/>
  <c r="F2397" i="2"/>
  <c r="F2417" i="2"/>
  <c r="F2439" i="2"/>
  <c r="F2461" i="2"/>
  <c r="F2481" i="2"/>
  <c r="F2497" i="2"/>
  <c r="F2508" i="2"/>
  <c r="F2517" i="2"/>
  <c r="F2526" i="2"/>
  <c r="F2535" i="2"/>
  <c r="F2545" i="2"/>
  <c r="F2553" i="2"/>
  <c r="F2561" i="2"/>
  <c r="F2569" i="2"/>
  <c r="F2577" i="2"/>
  <c r="F2585" i="2"/>
  <c r="F2593" i="2"/>
  <c r="F2601" i="2"/>
  <c r="F2609" i="2"/>
  <c r="F2617" i="2"/>
  <c r="F2625" i="2"/>
  <c r="F2633" i="2"/>
  <c r="F2641" i="2"/>
  <c r="F2649" i="2"/>
  <c r="F2657" i="2"/>
  <c r="F2665" i="2"/>
  <c r="F2673" i="2"/>
  <c r="F2681" i="2"/>
  <c r="F2689" i="2"/>
  <c r="F2697" i="2"/>
  <c r="F2705" i="2"/>
  <c r="F2713" i="2"/>
  <c r="F2721" i="2"/>
  <c r="F2729" i="2"/>
  <c r="F2737" i="2"/>
  <c r="F2745" i="2"/>
  <c r="F2753" i="2"/>
  <c r="F2761" i="2"/>
  <c r="F2769" i="2"/>
  <c r="F2777" i="2"/>
  <c r="F2785" i="2"/>
  <c r="F2793" i="2"/>
  <c r="F2801" i="2"/>
  <c r="F2809" i="2"/>
  <c r="F2817" i="2"/>
  <c r="F2825" i="2"/>
  <c r="F2833" i="2"/>
  <c r="F2841" i="2"/>
  <c r="F2849" i="2"/>
  <c r="F2857" i="2"/>
  <c r="F2865" i="2"/>
  <c r="F2873" i="2"/>
  <c r="F2881" i="2"/>
  <c r="F2889" i="2"/>
  <c r="F2897" i="2"/>
  <c r="F2905" i="2"/>
  <c r="F2913" i="2"/>
  <c r="F2921" i="2"/>
  <c r="F2929" i="2"/>
  <c r="F2937" i="2"/>
  <c r="F2945" i="2"/>
  <c r="F2953" i="2"/>
  <c r="F2961" i="2"/>
  <c r="F2969" i="2"/>
  <c r="F2977" i="2"/>
  <c r="F2985" i="2"/>
  <c r="F2993" i="2"/>
  <c r="F3001" i="2"/>
  <c r="F904" i="2"/>
  <c r="F1144" i="2"/>
  <c r="F1258" i="2"/>
  <c r="F1361" i="2"/>
  <c r="F1464" i="2"/>
  <c r="F1557" i="2"/>
  <c r="F1621" i="2"/>
  <c r="F1685" i="2"/>
  <c r="F1749" i="2"/>
  <c r="F1813" i="2"/>
  <c r="F1865" i="2"/>
  <c r="F1887" i="2"/>
  <c r="F1909" i="2"/>
  <c r="F1929" i="2"/>
  <c r="F1951" i="2"/>
  <c r="F1973" i="2"/>
  <c r="F1993" i="2"/>
  <c r="F2015" i="2"/>
  <c r="F2037" i="2"/>
  <c r="F2057" i="2"/>
  <c r="F2079" i="2"/>
  <c r="F2101" i="2"/>
  <c r="F2121" i="2"/>
  <c r="F2143" i="2"/>
  <c r="F2165" i="2"/>
  <c r="F2185" i="2"/>
  <c r="F2207" i="2"/>
  <c r="F2229" i="2"/>
  <c r="F2249" i="2"/>
  <c r="F2271" i="2"/>
  <c r="F2293" i="2"/>
  <c r="F2313" i="2"/>
  <c r="F2335" i="2"/>
  <c r="F2357" i="2"/>
  <c r="F2377" i="2"/>
  <c r="F2399" i="2"/>
  <c r="F2421" i="2"/>
  <c r="F2441" i="2"/>
  <c r="F2463" i="2"/>
  <c r="F2484" i="2"/>
  <c r="F2498" i="2"/>
  <c r="F2509" i="2"/>
  <c r="F2518" i="2"/>
  <c r="F2527" i="2"/>
  <c r="F2537" i="2"/>
  <c r="F2546" i="2"/>
  <c r="F2554" i="2"/>
  <c r="F2562" i="2"/>
  <c r="F2570" i="2"/>
  <c r="F2578" i="2"/>
  <c r="F2586" i="2"/>
  <c r="F2594" i="2"/>
  <c r="F2602" i="2"/>
  <c r="F2610" i="2"/>
  <c r="F2618" i="2"/>
  <c r="F2626" i="2"/>
  <c r="F2634" i="2"/>
  <c r="F2642" i="2"/>
  <c r="F2650" i="2"/>
  <c r="F2658" i="2"/>
  <c r="F2666" i="2"/>
  <c r="F2674" i="2"/>
  <c r="F2682" i="2"/>
  <c r="F2690" i="2"/>
  <c r="F2698" i="2"/>
  <c r="F2706" i="2"/>
  <c r="F2714" i="2"/>
  <c r="F2722" i="2"/>
  <c r="F2730" i="2"/>
  <c r="F2738" i="2"/>
  <c r="F2746" i="2"/>
  <c r="F2754" i="2"/>
  <c r="F2762" i="2"/>
  <c r="F2770" i="2"/>
  <c r="F2778" i="2"/>
  <c r="F2786" i="2"/>
  <c r="F2794" i="2"/>
  <c r="F2802" i="2"/>
  <c r="F2810" i="2"/>
  <c r="F2818" i="2"/>
  <c r="F2826" i="2"/>
  <c r="F2834" i="2"/>
  <c r="F2842" i="2"/>
  <c r="F2850" i="2"/>
  <c r="F2858" i="2"/>
  <c r="F2866" i="2"/>
  <c r="F2874" i="2"/>
  <c r="F2882" i="2"/>
  <c r="F2890" i="2"/>
  <c r="F2898" i="2"/>
  <c r="F2906" i="2"/>
  <c r="F2914" i="2"/>
  <c r="F2922" i="2"/>
  <c r="F2930" i="2"/>
  <c r="F2938" i="2"/>
  <c r="F2946" i="2"/>
  <c r="F2954" i="2"/>
  <c r="F2962" i="2"/>
  <c r="F2970" i="2"/>
  <c r="F2978" i="2"/>
  <c r="F2986" i="2"/>
  <c r="F2994" i="2"/>
  <c r="F3002" i="2"/>
  <c r="F973" i="2"/>
  <c r="F1182" i="2"/>
  <c r="F1284" i="2"/>
  <c r="F1386" i="2"/>
  <c r="F1489" i="2"/>
  <c r="F1573" i="2"/>
  <c r="F1637" i="2"/>
  <c r="F1701" i="2"/>
  <c r="F1765" i="2"/>
  <c r="F1829" i="2"/>
  <c r="F1871" i="2"/>
  <c r="F1893" i="2"/>
  <c r="F1913" i="2"/>
  <c r="F1935" i="2"/>
  <c r="F1957" i="2"/>
  <c r="F1977" i="2"/>
  <c r="F1999" i="2"/>
  <c r="F2021" i="2"/>
  <c r="F2041" i="2"/>
  <c r="F2063" i="2"/>
  <c r="F2085" i="2"/>
  <c r="F2105" i="2"/>
  <c r="F2127" i="2"/>
  <c r="F2149" i="2"/>
  <c r="F2169" i="2"/>
  <c r="F2191" i="2"/>
  <c r="F2213" i="2"/>
  <c r="F2233" i="2"/>
  <c r="F2255" i="2"/>
  <c r="F2277" i="2"/>
  <c r="F2297" i="2"/>
  <c r="F2319" i="2"/>
  <c r="F2341" i="2"/>
  <c r="F2361" i="2"/>
  <c r="F2383" i="2"/>
  <c r="F2405" i="2"/>
  <c r="F2425" i="2"/>
  <c r="F2447" i="2"/>
  <c r="F2469" i="2"/>
  <c r="F2487" i="2"/>
  <c r="F2501" i="2"/>
  <c r="F2511" i="2"/>
  <c r="F2521" i="2"/>
  <c r="F2530" i="2"/>
  <c r="F2539" i="2"/>
  <c r="F2548" i="2"/>
  <c r="F2556" i="2"/>
  <c r="F2564" i="2"/>
  <c r="F2572" i="2"/>
  <c r="F2580" i="2"/>
  <c r="F2588" i="2"/>
  <c r="F2596" i="2"/>
  <c r="F2604" i="2"/>
  <c r="F2612" i="2"/>
  <c r="F2620" i="2"/>
  <c r="F2628" i="2"/>
  <c r="F2636" i="2"/>
  <c r="F2644" i="2"/>
  <c r="F2652" i="2"/>
  <c r="F2660" i="2"/>
  <c r="F2668" i="2"/>
  <c r="F2676" i="2"/>
  <c r="F2684" i="2"/>
  <c r="F2692" i="2"/>
  <c r="F2700" i="2"/>
  <c r="F2708" i="2"/>
  <c r="F2716" i="2"/>
  <c r="F2724" i="2"/>
  <c r="F2732" i="2"/>
  <c r="F2740" i="2"/>
  <c r="F2748" i="2"/>
  <c r="F2756" i="2"/>
  <c r="F2764" i="2"/>
  <c r="F2772" i="2"/>
  <c r="F2780" i="2"/>
  <c r="F2788" i="2"/>
  <c r="F2796" i="2"/>
  <c r="F2804" i="2"/>
  <c r="F2812" i="2"/>
  <c r="F2820" i="2"/>
  <c r="F2828" i="2"/>
  <c r="F2836" i="2"/>
  <c r="F2844" i="2"/>
  <c r="F2852" i="2"/>
  <c r="F2860" i="2"/>
  <c r="F2868" i="2"/>
  <c r="F2876" i="2"/>
  <c r="F2884" i="2"/>
  <c r="F2892" i="2"/>
  <c r="F2900" i="2"/>
  <c r="F2908" i="2"/>
  <c r="F2916" i="2"/>
  <c r="F2924" i="2"/>
  <c r="F2932" i="2"/>
  <c r="F2940" i="2"/>
  <c r="F2948" i="2"/>
  <c r="F2956" i="2"/>
  <c r="F2964" i="2"/>
  <c r="F2972" i="2"/>
  <c r="F2980" i="2"/>
  <c r="F2988" i="2"/>
  <c r="F2996" i="2"/>
  <c r="F3004" i="2"/>
  <c r="N31" i="1"/>
  <c r="N37" i="1" s="1"/>
  <c r="N28" i="1"/>
  <c r="N29" i="1"/>
  <c r="I28" i="2"/>
  <c r="F7" i="2"/>
  <c r="I34" i="2" l="1"/>
  <c r="I29" i="2"/>
  <c r="I32" i="2" s="1"/>
  <c r="I35" i="2"/>
  <c r="I33" i="2" l="1"/>
  <c r="U39" i="2"/>
  <c r="U31" i="2"/>
  <c r="U35" i="2" s="1"/>
  <c r="U32" i="2" l="1"/>
  <c r="U3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<sst xmlns="http://schemas.openxmlformats.org/spreadsheetml/2006/main" count="86" uniqueCount="60">
  <si>
    <t>Item</t>
  </si>
  <si>
    <t>Value</t>
  </si>
  <si>
    <t>Confidence level</t>
  </si>
  <si>
    <t>Precision w</t>
  </si>
  <si>
    <t>Part 1</t>
  </si>
  <si>
    <t>Estimate pi using Monte Carlo</t>
  </si>
  <si>
    <t>Method (a): 2D circle in square</t>
  </si>
  <si>
    <t>Method (b): 3D sphere in cube</t>
  </si>
  <si>
    <t>Part 2</t>
  </si>
  <si>
    <t>Estimate probability system works at least 7 days</t>
  </si>
  <si>
    <t>Part 1: Estimate pi</t>
  </si>
  <si>
    <t>Run</t>
  </si>
  <si>
    <t>Random x</t>
  </si>
  <si>
    <t>Random y</t>
  </si>
  <si>
    <t>x^2 + y^2</t>
  </si>
  <si>
    <t>Pi estimate</t>
  </si>
  <si>
    <t>Inside circle?</t>
  </si>
  <si>
    <t>2D Method Summary</t>
  </si>
  <si>
    <t>Number of runs (n)</t>
  </si>
  <si>
    <t>Inside proportion</t>
  </si>
  <si>
    <t>Std. error</t>
  </si>
  <si>
    <t>95% margin of error</t>
  </si>
  <si>
    <t>95% CI lower</t>
  </si>
  <si>
    <t>95% CI upper</t>
  </si>
  <si>
    <t>x^2+y^2+z^2</t>
  </si>
  <si>
    <t>Inside sphere?</t>
  </si>
  <si>
    <t>3D Method Summary</t>
  </si>
  <si>
    <t>Required n for w=0.01</t>
  </si>
  <si>
    <t>Current margin &lt;= 0.01?</t>
  </si>
  <si>
    <t>Better method</t>
  </si>
  <si>
    <t>Reason</t>
  </si>
  <si>
    <t>Method with smaller required n is better</t>
  </si>
  <si>
    <t>Chosen system</t>
  </si>
  <si>
    <t>System 1</t>
  </si>
  <si>
    <t>Component</t>
  </si>
  <si>
    <t>Mean beta (days)</t>
  </si>
  <si>
    <t>X1</t>
  </si>
  <si>
    <t>X2</t>
  </si>
  <si>
    <t>X3</t>
  </si>
  <si>
    <t>X4</t>
  </si>
  <si>
    <t>X5</t>
  </si>
  <si>
    <t>Max(3,4)</t>
  </si>
  <si>
    <t>Min(2, Max(3,4))</t>
  </si>
  <si>
    <t>System lifetime Y</t>
  </si>
  <si>
    <t>Y &gt;= 7 ?</t>
  </si>
  <si>
    <t>Part 2 Summary</t>
  </si>
  <si>
    <t>Estimated probability p</t>
  </si>
  <si>
    <t>Part 2 conclusion</t>
  </si>
  <si>
    <t>Estimated probability system lasts at least 7 days</t>
  </si>
  <si>
    <t>Approx. required replications for w=0.01</t>
  </si>
  <si>
    <t>Value of n</t>
  </si>
  <si>
    <t>Random z</t>
  </si>
  <si>
    <t>Required n theoritically</t>
  </si>
  <si>
    <t>S. M Kausar Parvej</t>
  </si>
  <si>
    <t xml:space="preserve">For System 1 </t>
  </si>
  <si>
    <t>Are current n runs enough?</t>
  </si>
  <si>
    <t>Conclusion</t>
  </si>
  <si>
    <t>Max(1, euivalent1)</t>
  </si>
  <si>
    <t>1. 2D circle in square</t>
  </si>
  <si>
    <t>2: 3D sphere in 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</si>
</sst>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203E-BECE-406F-B504-F7F31E201E27}">
  <dimension ref="A4:H18"/>
  <sheetViews>
    <sheetView tabSelected="1" workbookViewId="0">
      <selection activeCell="B15" sqref="B15"/>
    </sheetView>
  </sheetViews>
  <sheetFormatPr defaultRowHeight="14.4" x14ac:dyDescent="0.3"/>
  <cols>
    <col min="1" max="1" width="22" customWidth="1"/>
    <col min="7" max="7" width="26.109375" customWidth="1"/>
  </cols>
  <sheetData>
    <row r="4" spans="1:8" x14ac:dyDescent="0.3">
      <c r="A4" t="s">
        <v>53</v>
      </c>
      <c r="B4">
        <v>2005076</v>
      </c>
    </row>
    <row r="6" spans="1:8" x14ac:dyDescent="0.3">
      <c r="G6" s="2" t="s">
        <v>0</v>
      </c>
      <c r="H6" s="2" t="s">
        <v>1</v>
      </c>
    </row>
    <row r="7" spans="1:8" x14ac:dyDescent="0.3">
      <c r="G7" t="s">
        <v>2</v>
      </c>
      <c r="H7" s="1">
        <v>0.95</v>
      </c>
    </row>
    <row r="8" spans="1:8" x14ac:dyDescent="0.3">
      <c r="G8" t="s">
        <v>3</v>
      </c>
      <c r="H8">
        <v>0.01</v>
      </c>
    </row>
    <row r="11" spans="1:8" x14ac:dyDescent="0.3">
      <c r="G11" t="s">
        <v>4</v>
      </c>
    </row>
    <row r="12" spans="1:8" x14ac:dyDescent="0.3">
      <c r="G12" t="s">
        <v>5</v>
      </c>
    </row>
    <row r="13" spans="1:8" x14ac:dyDescent="0.3">
      <c r="G13" t="s">
        <v>6</v>
      </c>
    </row>
    <row r="14" spans="1:8" x14ac:dyDescent="0.3">
      <c r="G14" t="s">
        <v>7</v>
      </c>
    </row>
    <row r="16" spans="1:8" x14ac:dyDescent="0.3">
      <c r="G16" t="s">
        <v>8</v>
      </c>
    </row>
    <row r="17" spans="7:7" x14ac:dyDescent="0.3">
      <c r="G17" t="s">
        <v>9</v>
      </c>
    </row>
    <row r="18" spans="7:7" x14ac:dyDescent="0.3">
      <c r="G18" t="s">
        <v>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EE5B-13EF-488A-B8C5-F52CED48C30E}">
  <dimension ref="A1:U3006"/>
  <sheetViews>
    <sheetView topLeftCell="A6" workbookViewId="0">
      <selection activeCell="B7" sqref="B7"/>
    </sheetView>
  </sheetViews>
  <sheetFormatPr defaultRowHeight="14.4" x14ac:dyDescent="0.3"/>
  <cols>
    <col min="1" max="1" width="17.5546875" customWidth="1"/>
    <col min="5" max="5" width="14.44140625" customWidth="1"/>
    <col min="6" max="6" width="13.109375" customWidth="1"/>
    <col min="7" max="7" width="10.6640625" customWidth="1"/>
    <col min="8" max="8" width="20.5546875" customWidth="1"/>
    <col min="9" max="9" width="14.21875" customWidth="1"/>
    <col min="11" max="11" width="10.5546875" customWidth="1"/>
    <col min="12" max="12" width="10.21875" customWidth="1"/>
    <col min="14" max="14" width="9.44140625" customWidth="1"/>
    <col min="15" max="15" width="10.109375" customWidth="1"/>
    <col min="16" max="16" width="11.5546875" customWidth="1"/>
    <col min="17" max="17" width="12.5546875" customWidth="1"/>
    <col min="18" max="18" width="13.33203125" customWidth="1"/>
    <col min="20" max="20" width="23.21875" customWidth="1"/>
    <col min="21" max="21" width="14" customWidth="1"/>
    <col min="23" max="23" width="20.77734375" customWidth="1"/>
  </cols>
  <sheetData>
    <row r="1" spans="1:18" x14ac:dyDescent="0.3">
      <c r="A1" s="2" t="s">
        <v>10</v>
      </c>
      <c r="H1" s="2" t="s">
        <v>53</v>
      </c>
      <c r="I1" s="2">
        <v>2005076</v>
      </c>
    </row>
    <row r="2" spans="1:18" x14ac:dyDescent="0.3">
      <c r="A2" s="2" t="s">
        <v>50</v>
      </c>
      <c r="B2">
        <v>100</v>
      </c>
      <c r="C2">
        <v>100</v>
      </c>
    </row>
    <row r="4" spans="1:18" x14ac:dyDescent="0.3">
      <c r="B4" s="2" t="s">
        <v>58</v>
      </c>
      <c r="L4" s="2" t="s">
        <v>59</v>
      </c>
    </row>
    <row r="6" spans="1:18" x14ac:dyDescent="0.3">
      <c r="A6" s="2" t="s">
        <v>11</v>
      </c>
      <c r="B6" s="2" t="s">
        <v>12</v>
      </c>
      <c r="C6" s="2" t="s">
        <v>13</v>
      </c>
      <c r="D6" s="2" t="s">
        <v>14</v>
      </c>
      <c r="E6" s="2" t="s">
        <v>16</v>
      </c>
      <c r="F6" s="2" t="s">
        <v>15</v>
      </c>
      <c r="L6" s="2" t="s">
        <v>11</v>
      </c>
      <c r="M6" s="2" t="s">
        <v>12</v>
      </c>
      <c r="N6" s="2" t="s">
        <v>13</v>
      </c>
      <c r="O6" s="2" t="s">
        <v>51</v>
      </c>
      <c r="P6" s="2" t="s">
        <v>24</v>
      </c>
      <c r="Q6" s="2" t="s">
        <v>25</v>
      </c>
      <c r="R6" s="2" t="s">
        <v>15</v>
      </c>
    </row>
    <row r="7" spans="1:18" x14ac:dyDescent="0.3">
      <c r="A7" cm="1">
        <f t="array" ref="A7:A106">_xlfn.SEQUENCE($B$2)</f>
        <v>1</v>
      </c>
      <c r="B7" cm="1">
        <f t="array" aca="1" ref="B7:B106" ca="1">_xlfn.RANDARRAY($B$2,1,-1,1)</f>
        <v>0.9286629367530268</v>
      </c>
      <c r="C7" cm="1">
        <f t="array" aca="1" ref="C7:C106" ca="1">_xlfn.RANDARRAY($B$2,1,-1,1)</f>
        <v>-6.0111612033538098E-2</v>
      </c>
      <c r="D7" cm="1">
        <f t="array" aca="1" ref="D7:D106" ca="1">_xlfn.ANCHORARRAY(B7)^2+_xlfn.ANCHORARRAY(C7)^2</f>
        <v>0.86602825600002686</v>
      </c>
      <c r="E7" cm="1">
        <f t="array" aca="1" ref="E7:E106" ca="1">--(_xlfn.ANCHORARRAY(D7)&lt;=1)</f>
        <v>1</v>
      </c>
      <c r="F7">
        <f ca="1">IF(A7="","",4*AVERAGE($E$7:E7))</f>
        <v>4</v>
      </c>
      <c r="L7" cm="1">
        <f t="array" ref="L7:L106">_xlfn.SEQUENCE($C$2)</f>
        <v>1</v>
      </c>
      <c r="M7" cm="1">
        <f t="array" aca="1" ref="M7:M106" ca="1">_xlfn.RANDARRAY($C$2,1,-1,1)</f>
        <v>0.53512561852414375</v>
      </c>
      <c r="N7" cm="1">
        <f t="array" aca="1" ref="N7:N106" ca="1">_xlfn.RANDARRAY($C$2,1,-1,1)</f>
        <v>0.65660541957297669</v>
      </c>
      <c r="O7" cm="1">
        <f t="array" aca="1" ref="O7:O106" ca="1">_xlfn.RANDARRAY($C$2,1,-1,1)</f>
        <v>0.8117721693812745</v>
      </c>
      <c r="P7" cm="1">
        <f t="array" aca="1" ref="P7:P106" ca="1">_xlfn.ANCHORARRAY(M7)^2+_xlfn.ANCHORARRAY(N7)^2+_xlfn.ANCHORARRAY(O7)^2</f>
        <v>1.3764641595954328</v>
      </c>
      <c r="Q7" cm="1">
        <f t="array" aca="1" ref="Q7:Q106" ca="1">--(_xlfn.ANCHORARRAY(P7)&lt;=1)</f>
        <v>0</v>
      </c>
      <c r="R7">
        <f ca="1">IF(L7="","",6*AVERAGE($Q$7:Q7))</f>
        <v>0</v>
      </c>
    </row>
    <row r="8" spans="1:18" x14ac:dyDescent="0.3">
      <c r="A8">
        <v>2</v>
      </c>
      <c r="B8">
        <f ca="1"/>
        <v>-0.61232156058985998</v>
      </c>
      <c r="C8">
        <f ca="1"/>
        <v>-0.67035093303525839</v>
      </c>
      <c r="D8">
        <f ca="1"/>
        <v>0.82430806698444303</v>
      </c>
      <c r="E8">
        <f ca="1"/>
        <v>1</v>
      </c>
      <c r="F8">
        <f ca="1">IF(A8="","",4*AVERAGE($E$7:E8))</f>
        <v>4</v>
      </c>
      <c r="L8">
        <v>2</v>
      </c>
      <c r="M8">
        <f ca="1"/>
        <v>0.64816288298324887</v>
      </c>
      <c r="N8">
        <f ca="1"/>
        <v>-0.28282430182331275</v>
      </c>
      <c r="O8">
        <f ca="1"/>
        <v>0.15500872022647982</v>
      </c>
      <c r="P8">
        <f ca="1"/>
        <v>0.52413241192525217</v>
      </c>
      <c r="Q8">
        <f ca="1"/>
        <v>1</v>
      </c>
      <c r="R8">
        <f ca="1">IF(L8="","",6*AVERAGE($Q$7:Q8))</f>
        <v>3</v>
      </c>
    </row>
    <row r="9" spans="1:18" x14ac:dyDescent="0.3">
      <c r="A9">
        <v>3</v>
      </c>
      <c r="B9">
        <f ca="1"/>
        <v>0.93491028533573206</v>
      </c>
      <c r="C9">
        <f ca="1"/>
        <v>-0.40737342177145841</v>
      </c>
      <c r="D9">
        <f ca="1"/>
        <v>1.0400103463923265</v>
      </c>
      <c r="E9">
        <f ca="1"/>
        <v>0</v>
      </c>
      <c r="F9">
        <f ca="1">IF(A9="","",4*AVERAGE($E$7:E9))</f>
        <v>2.6666666666666665</v>
      </c>
      <c r="L9">
        <v>3</v>
      </c>
      <c r="M9">
        <f ca="1"/>
        <v>0.73370859100704355</v>
      </c>
      <c r="N9">
        <f ca="1"/>
        <v>0.98870739633094784</v>
      </c>
      <c r="O9">
        <f ca="1"/>
        <v>-0.61497963747668072</v>
      </c>
      <c r="P9">
        <f ca="1"/>
        <v>1.8940705665880126</v>
      </c>
      <c r="Q9">
        <f ca="1"/>
        <v>0</v>
      </c>
      <c r="R9">
        <f ca="1">IF(L9="","",6*AVERAGE($Q$7:Q9))</f>
        <v>2</v>
      </c>
    </row>
    <row r="10" spans="1:18" x14ac:dyDescent="0.3">
      <c r="A10">
        <v>4</v>
      </c>
      <c r="B10">
        <f ca="1"/>
        <v>0.19666719856862147</v>
      </c>
      <c r="C10">
        <f ca="1"/>
        <v>0.80001689732201919</v>
      </c>
      <c r="D10">
        <f ca="1"/>
        <v>0.67870502299357971</v>
      </c>
      <c r="E10">
        <f ca="1"/>
        <v>1</v>
      </c>
      <c r="F10">
        <f ca="1">IF(A10="","",4*AVERAGE($E$7:E10))</f>
        <v>3</v>
      </c>
      <c r="L10">
        <v>4</v>
      </c>
      <c r="M10">
        <f ca="1"/>
        <v>0.13692325523644144</v>
      </c>
      <c r="N10">
        <f ca="1"/>
        <v>0.60572002794124202</v>
      </c>
      <c r="O10">
        <f ca="1"/>
        <v>0.93739493764307147</v>
      </c>
      <c r="P10">
        <f ca="1"/>
        <v>1.2643539991925405</v>
      </c>
      <c r="Q10">
        <f ca="1"/>
        <v>0</v>
      </c>
      <c r="R10">
        <f ca="1">IF(L10="","",6*AVERAGE($Q$7:Q10))</f>
        <v>1.5</v>
      </c>
    </row>
    <row r="11" spans="1:18" x14ac:dyDescent="0.3">
      <c r="A11">
        <v>5</v>
      </c>
      <c r="B11">
        <f ca="1"/>
        <v>-0.11143729659976787</v>
      </c>
      <c r="C11">
        <f ca="1"/>
        <v>0.50509176827642044</v>
      </c>
      <c r="D11">
        <f ca="1"/>
        <v>0.26753596545406588</v>
      </c>
      <c r="E11">
        <f ca="1"/>
        <v>1</v>
      </c>
      <c r="F11">
        <f ca="1">IF(A11="","",4*AVERAGE($E$7:E11))</f>
        <v>3.2</v>
      </c>
      <c r="L11">
        <v>5</v>
      </c>
      <c r="M11">
        <f ca="1"/>
        <v>0.25215169533601167</v>
      </c>
      <c r="N11">
        <f ca="1"/>
        <v>0.86926421770814444</v>
      </c>
      <c r="O11">
        <f ca="1"/>
        <v>0.84190185733306344</v>
      </c>
      <c r="P11">
        <f ca="1"/>
        <v>1.5279994950294391</v>
      </c>
      <c r="Q11">
        <f ca="1"/>
        <v>0</v>
      </c>
      <c r="R11">
        <f ca="1">IF(L11="","",6*AVERAGE($Q$7:Q11))</f>
        <v>1.2000000000000002</v>
      </c>
    </row>
    <row r="12" spans="1:18" x14ac:dyDescent="0.3">
      <c r="A12">
        <v>6</v>
      </c>
      <c r="B12">
        <f ca="1"/>
        <v>-0.74227047633093179</v>
      </c>
      <c r="C12">
        <f ca="1"/>
        <v>-0.93147045095579917</v>
      </c>
      <c r="D12">
        <f ca="1"/>
        <v>1.4186026610363482</v>
      </c>
      <c r="E12">
        <f ca="1"/>
        <v>0</v>
      </c>
      <c r="F12">
        <f ca="1">IF(A12="","",4*AVERAGE($E$7:E12))</f>
        <v>2.6666666666666665</v>
      </c>
      <c r="L12">
        <v>6</v>
      </c>
      <c r="M12">
        <f ca="1"/>
        <v>-0.70364694142281126</v>
      </c>
      <c r="N12">
        <f ca="1"/>
        <v>-0.62396926481555148</v>
      </c>
      <c r="O12">
        <f ca="1"/>
        <v>0.64913916223887513</v>
      </c>
      <c r="P12">
        <f ca="1"/>
        <v>1.3058383135603255</v>
      </c>
      <c r="Q12">
        <f ca="1"/>
        <v>0</v>
      </c>
      <c r="R12">
        <f ca="1">IF(L12="","",6*AVERAGE($Q$7:Q12))</f>
        <v>1</v>
      </c>
    </row>
    <row r="13" spans="1:18" x14ac:dyDescent="0.3">
      <c r="A13">
        <v>7</v>
      </c>
      <c r="B13">
        <f ca="1"/>
        <v>0.80281269142170908</v>
      </c>
      <c r="C13">
        <f ca="1"/>
        <v>0.75431865810591314</v>
      </c>
      <c r="D13">
        <f ca="1"/>
        <v>1.2135048554744738</v>
      </c>
      <c r="E13">
        <f ca="1"/>
        <v>0</v>
      </c>
      <c r="F13">
        <f ca="1">IF(A13="","",4*AVERAGE($E$7:E13))</f>
        <v>2.2857142857142856</v>
      </c>
      <c r="L13">
        <v>7</v>
      </c>
      <c r="M13">
        <f ca="1"/>
        <v>0.12404607140987034</v>
      </c>
      <c r="N13">
        <f ca="1"/>
        <v>-0.12536208010171768</v>
      </c>
      <c r="O13">
        <f ca="1"/>
        <v>-0.74733672380904803</v>
      </c>
      <c r="P13">
        <f ca="1"/>
        <v>0.58961525771329348</v>
      </c>
      <c r="Q13">
        <f ca="1"/>
        <v>1</v>
      </c>
      <c r="R13">
        <f ca="1">IF(L13="","",6*AVERAGE($Q$7:Q13))</f>
        <v>1.7142857142857142</v>
      </c>
    </row>
    <row r="14" spans="1:18" x14ac:dyDescent="0.3">
      <c r="A14">
        <v>8</v>
      </c>
      <c r="B14">
        <f ca="1"/>
        <v>-0.75822258166912859</v>
      </c>
      <c r="C14">
        <f ca="1"/>
        <v>-0.20962467336413848</v>
      </c>
      <c r="D14">
        <f ca="1"/>
        <v>0.61884398703602017</v>
      </c>
      <c r="E14">
        <f ca="1"/>
        <v>1</v>
      </c>
      <c r="F14">
        <f ca="1">IF(A14="","",4*AVERAGE($E$7:E14))</f>
        <v>2.5</v>
      </c>
      <c r="L14">
        <v>8</v>
      </c>
      <c r="M14">
        <f ca="1"/>
        <v>0.83504895810104651</v>
      </c>
      <c r="N14">
        <f ca="1"/>
        <v>-0.20641004121375151</v>
      </c>
      <c r="O14">
        <f ca="1"/>
        <v>0.59804081963204503</v>
      </c>
      <c r="P14">
        <f ca="1"/>
        <v>1.0975646894856741</v>
      </c>
      <c r="Q14">
        <f ca="1"/>
        <v>0</v>
      </c>
      <c r="R14">
        <f ca="1">IF(L14="","",6*AVERAGE($Q$7:Q14))</f>
        <v>1.5</v>
      </c>
    </row>
    <row r="15" spans="1:18" x14ac:dyDescent="0.3">
      <c r="A15">
        <v>9</v>
      </c>
      <c r="B15">
        <f ca="1"/>
        <v>0.64962487277055936</v>
      </c>
      <c r="C15">
        <f ca="1"/>
        <v>-0.7988175476549948</v>
      </c>
      <c r="D15">
        <f ca="1"/>
        <v>1.0601219497637053</v>
      </c>
      <c r="E15">
        <f ca="1"/>
        <v>0</v>
      </c>
      <c r="F15">
        <f ca="1">IF(A15="","",4*AVERAGE($E$7:E15))</f>
        <v>2.2222222222222223</v>
      </c>
      <c r="L15">
        <v>9</v>
      </c>
      <c r="M15">
        <f ca="1"/>
        <v>-0.70537641522250794</v>
      </c>
      <c r="N15">
        <f ca="1"/>
        <v>0.57381523665448109</v>
      </c>
      <c r="O15">
        <f ca="1"/>
        <v>-0.64123843436501637</v>
      </c>
      <c r="P15">
        <f ca="1"/>
        <v>1.2380065426758915</v>
      </c>
      <c r="Q15">
        <f ca="1"/>
        <v>0</v>
      </c>
      <c r="R15">
        <f ca="1">IF(L15="","",6*AVERAGE($Q$7:Q15))</f>
        <v>1.3333333333333333</v>
      </c>
    </row>
    <row r="16" spans="1:18" x14ac:dyDescent="0.3">
      <c r="A16">
        <v>10</v>
      </c>
      <c r="B16">
        <f ca="1"/>
        <v>-0.49355302536395729</v>
      </c>
      <c r="C16">
        <f ca="1"/>
        <v>-1.7351241839815845E-2</v>
      </c>
      <c r="D16">
        <f ca="1"/>
        <v>0.24389565443929884</v>
      </c>
      <c r="E16">
        <f ca="1"/>
        <v>1</v>
      </c>
      <c r="F16">
        <f ca="1">IF(A16="","",4*AVERAGE($E$7:E16))</f>
        <v>2.4</v>
      </c>
      <c r="L16">
        <v>10</v>
      </c>
      <c r="M16">
        <f ca="1"/>
        <v>7.4497017661305565E-2</v>
      </c>
      <c r="N16">
        <f ca="1"/>
        <v>-0.21702369305259817</v>
      </c>
      <c r="O16">
        <f ca="1"/>
        <v>-0.56302604104208398</v>
      </c>
      <c r="P16">
        <f ca="1"/>
        <v>0.36964741187813965</v>
      </c>
      <c r="Q16">
        <f ca="1"/>
        <v>1</v>
      </c>
      <c r="R16">
        <f ca="1">IF(L16="","",6*AVERAGE($Q$7:Q16))</f>
        <v>1.7999999999999998</v>
      </c>
    </row>
    <row r="17" spans="1:21" x14ac:dyDescent="0.3">
      <c r="A17">
        <v>11</v>
      </c>
      <c r="B17">
        <f ca="1"/>
        <v>-6.9147503799278143E-2</v>
      </c>
      <c r="C17">
        <f ca="1"/>
        <v>-0.65992361143319078</v>
      </c>
      <c r="D17">
        <f ca="1"/>
        <v>0.44028055020869611</v>
      </c>
      <c r="E17">
        <f ca="1"/>
        <v>1</v>
      </c>
      <c r="F17">
        <f ca="1">IF(A17="","",4*AVERAGE($E$7:E17))</f>
        <v>2.5454545454545454</v>
      </c>
      <c r="L17">
        <v>11</v>
      </c>
      <c r="M17">
        <f ca="1"/>
        <v>0.8957696740626846</v>
      </c>
      <c r="N17">
        <f ca="1"/>
        <v>-0.6378754709830432</v>
      </c>
      <c r="O17">
        <f ca="1"/>
        <v>0.68438121027554311</v>
      </c>
      <c r="P17">
        <f ca="1"/>
        <v>1.6776660664304246</v>
      </c>
      <c r="Q17">
        <f ca="1"/>
        <v>0</v>
      </c>
      <c r="R17">
        <f ca="1">IF(L17="","",6*AVERAGE($Q$7:Q17))</f>
        <v>1.6363636363636362</v>
      </c>
    </row>
    <row r="18" spans="1:21" x14ac:dyDescent="0.3">
      <c r="A18">
        <v>12</v>
      </c>
      <c r="B18">
        <f ca="1"/>
        <v>0.99647728491494036</v>
      </c>
      <c r="C18">
        <f ca="1"/>
        <v>0.43940277947725481</v>
      </c>
      <c r="D18">
        <f ca="1"/>
        <v>1.1860417819637883</v>
      </c>
      <c r="E18">
        <f ca="1"/>
        <v>0</v>
      </c>
      <c r="F18">
        <f ca="1">IF(A18="","",4*AVERAGE($E$7:E18))</f>
        <v>2.3333333333333335</v>
      </c>
      <c r="L18">
        <v>12</v>
      </c>
      <c r="M18">
        <f ca="1"/>
        <v>0.82211122177820517</v>
      </c>
      <c r="N18">
        <f ca="1"/>
        <v>0.92897896958374138</v>
      </c>
      <c r="O18">
        <f ca="1"/>
        <v>0.51208469363161035</v>
      </c>
      <c r="P18">
        <f ca="1"/>
        <v>1.8010995203543032</v>
      </c>
      <c r="Q18">
        <f ca="1"/>
        <v>0</v>
      </c>
      <c r="R18">
        <f ca="1">IF(L18="","",6*AVERAGE($Q$7:Q18))</f>
        <v>1.5</v>
      </c>
    </row>
    <row r="19" spans="1:21" x14ac:dyDescent="0.3">
      <c r="A19">
        <v>13</v>
      </c>
      <c r="B19">
        <f ca="1"/>
        <v>-0.18259961747605447</v>
      </c>
      <c r="C19">
        <f ca="1"/>
        <v>-0.30018165662525265</v>
      </c>
      <c r="D19">
        <f ca="1"/>
        <v>0.12345164727668249</v>
      </c>
      <c r="E19">
        <f ca="1"/>
        <v>1</v>
      </c>
      <c r="F19">
        <f ca="1">IF(A19="","",4*AVERAGE($E$7:E19))</f>
        <v>2.4615384615384617</v>
      </c>
      <c r="L19">
        <v>13</v>
      </c>
      <c r="M19">
        <f ca="1"/>
        <v>-0.44985992237577066</v>
      </c>
      <c r="N19">
        <f ca="1"/>
        <v>-0.10701811587478738</v>
      </c>
      <c r="O19">
        <f ca="1"/>
        <v>0.22767609257120824</v>
      </c>
      <c r="P19">
        <f ca="1"/>
        <v>0.2656632300138172</v>
      </c>
      <c r="Q19">
        <f ca="1"/>
        <v>1</v>
      </c>
      <c r="R19">
        <f ca="1">IF(L19="","",6*AVERAGE($Q$7:Q19))</f>
        <v>1.8461538461538463</v>
      </c>
    </row>
    <row r="20" spans="1:21" x14ac:dyDescent="0.3">
      <c r="A20">
        <v>14</v>
      </c>
      <c r="B20">
        <f ca="1"/>
        <v>-0.40708710362702716</v>
      </c>
      <c r="C20">
        <f ca="1"/>
        <v>-0.41171874076555581</v>
      </c>
      <c r="D20">
        <f ca="1"/>
        <v>0.33523223143701686</v>
      </c>
      <c r="E20">
        <f ca="1"/>
        <v>1</v>
      </c>
      <c r="F20">
        <f ca="1">IF(A20="","",4*AVERAGE($E$7:E20))</f>
        <v>2.5714285714285716</v>
      </c>
      <c r="L20">
        <v>14</v>
      </c>
      <c r="M20">
        <f ca="1"/>
        <v>0.27177921544828787</v>
      </c>
      <c r="N20">
        <f ca="1"/>
        <v>-0.37501393114054871</v>
      </c>
      <c r="O20">
        <f ca="1"/>
        <v>0.15671508488010444</v>
      </c>
      <c r="P20">
        <f ca="1"/>
        <v>0.23905900832815341</v>
      </c>
      <c r="Q20">
        <f ca="1"/>
        <v>1</v>
      </c>
      <c r="R20">
        <f ca="1">IF(L20="","",6*AVERAGE($Q$7:Q20))</f>
        <v>2.1428571428571428</v>
      </c>
    </row>
    <row r="21" spans="1:21" x14ac:dyDescent="0.3">
      <c r="A21">
        <v>15</v>
      </c>
      <c r="B21">
        <f ca="1"/>
        <v>0.24950006916155298</v>
      </c>
      <c r="C21">
        <f ca="1"/>
        <v>2.1056311618372181E-2</v>
      </c>
      <c r="D21">
        <f ca="1"/>
        <v>6.269365277058972E-2</v>
      </c>
      <c r="E21">
        <f ca="1"/>
        <v>1</v>
      </c>
      <c r="F21">
        <f ca="1">IF(A21="","",4*AVERAGE($E$7:E21))</f>
        <v>2.6666666666666665</v>
      </c>
      <c r="L21">
        <v>15</v>
      </c>
      <c r="M21">
        <f ca="1"/>
        <v>0.50604438656231099</v>
      </c>
      <c r="N21">
        <f ca="1"/>
        <v>-0.7748910688609183</v>
      </c>
      <c r="O21">
        <f ca="1"/>
        <v>0.12615471332005557</v>
      </c>
      <c r="P21">
        <f ca="1"/>
        <v>0.87245210146450736</v>
      </c>
      <c r="Q21">
        <f ca="1"/>
        <v>1</v>
      </c>
      <c r="R21">
        <f ca="1">IF(L21="","",6*AVERAGE($Q$7:Q21))</f>
        <v>2.4000000000000004</v>
      </c>
    </row>
    <row r="22" spans="1:21" x14ac:dyDescent="0.3">
      <c r="A22">
        <v>16</v>
      </c>
      <c r="B22">
        <f ca="1"/>
        <v>-0.90184077724481893</v>
      </c>
      <c r="C22">
        <f ca="1"/>
        <v>0.3528232122680246</v>
      </c>
      <c r="D22">
        <f ca="1"/>
        <v>0.93780100661666665</v>
      </c>
      <c r="E22">
        <f ca="1"/>
        <v>1</v>
      </c>
      <c r="F22">
        <f ca="1">IF(A22="","",4*AVERAGE($E$7:E22))</f>
        <v>2.75</v>
      </c>
      <c r="L22">
        <v>16</v>
      </c>
      <c r="M22">
        <f ca="1"/>
        <v>-0.87723028701881178</v>
      </c>
      <c r="N22">
        <f ca="1"/>
        <v>0.62833313718351924</v>
      </c>
      <c r="O22">
        <f ca="1"/>
        <v>0.76886770288114881</v>
      </c>
      <c r="P22">
        <f ca="1"/>
        <v>1.7554930522797245</v>
      </c>
      <c r="Q22">
        <f ca="1"/>
        <v>0</v>
      </c>
      <c r="R22">
        <f ca="1">IF(L22="","",6*AVERAGE($Q$7:Q22))</f>
        <v>2.25</v>
      </c>
    </row>
    <row r="23" spans="1:21" x14ac:dyDescent="0.3">
      <c r="A23">
        <v>17</v>
      </c>
      <c r="B23">
        <f ca="1"/>
        <v>-0.7906765548085426</v>
      </c>
      <c r="C23">
        <f ca="1"/>
        <v>-0.27549735293862887</v>
      </c>
      <c r="D23">
        <f ca="1"/>
        <v>0.70106820580009765</v>
      </c>
      <c r="E23">
        <f ca="1"/>
        <v>1</v>
      </c>
      <c r="F23">
        <f ca="1">IF(A23="","",4*AVERAGE($E$7:E23))</f>
        <v>2.8235294117647061</v>
      </c>
      <c r="L23">
        <v>17</v>
      </c>
      <c r="M23">
        <f ca="1"/>
        <v>0.10785565292780364</v>
      </c>
      <c r="N23">
        <f ca="1"/>
        <v>-0.31104666390436631</v>
      </c>
      <c r="O23">
        <f ca="1"/>
        <v>-0.19712119692202057</v>
      </c>
      <c r="P23">
        <f ca="1"/>
        <v>0.14723963527048867</v>
      </c>
      <c r="Q23">
        <f ca="1"/>
        <v>1</v>
      </c>
      <c r="R23">
        <f ca="1">IF(L23="","",6*AVERAGE($Q$7:Q23))</f>
        <v>2.4705882352941178</v>
      </c>
    </row>
    <row r="24" spans="1:21" x14ac:dyDescent="0.3">
      <c r="A24">
        <v>18</v>
      </c>
      <c r="B24">
        <f ca="1"/>
        <v>0.48816590209628119</v>
      </c>
      <c r="C24">
        <f ca="1"/>
        <v>0.9992381464415423</v>
      </c>
      <c r="D24">
        <f ca="1"/>
        <v>1.2367828212734051</v>
      </c>
      <c r="E24">
        <f ca="1"/>
        <v>0</v>
      </c>
      <c r="F24">
        <f ca="1">IF(A24="","",4*AVERAGE($E$7:E24))</f>
        <v>2.6666666666666665</v>
      </c>
      <c r="L24">
        <v>18</v>
      </c>
      <c r="M24">
        <f ca="1"/>
        <v>-0.59373737041635644</v>
      </c>
      <c r="N24">
        <f ca="1"/>
        <v>-0.69369231049717084</v>
      </c>
      <c r="O24">
        <f ca="1"/>
        <v>0.83467001114791461</v>
      </c>
      <c r="P24">
        <f ca="1"/>
        <v>1.5304071141814928</v>
      </c>
      <c r="Q24">
        <f ca="1"/>
        <v>0</v>
      </c>
      <c r="R24">
        <f ca="1">IF(L24="","",6*AVERAGE($Q$7:Q24))</f>
        <v>2.3333333333333335</v>
      </c>
    </row>
    <row r="25" spans="1:21" x14ac:dyDescent="0.3">
      <c r="A25">
        <v>19</v>
      </c>
      <c r="B25">
        <f ca="1"/>
        <v>-0.13243842928451754</v>
      </c>
      <c r="C25">
        <f ca="1"/>
        <v>0.17543412921401691</v>
      </c>
      <c r="D25">
        <f ca="1"/>
        <v>4.8317071244430534E-2</v>
      </c>
      <c r="E25">
        <f ca="1"/>
        <v>1</v>
      </c>
      <c r="F25">
        <f ca="1">IF(A25="","",4*AVERAGE($E$7:E25))</f>
        <v>2.736842105263158</v>
      </c>
      <c r="L25">
        <v>19</v>
      </c>
      <c r="M25">
        <f ca="1"/>
        <v>0.17797020291216148</v>
      </c>
      <c r="N25">
        <f ca="1"/>
        <v>-0.86397208189122399</v>
      </c>
      <c r="O25">
        <f ca="1"/>
        <v>-0.34530931966543976</v>
      </c>
      <c r="P25">
        <f ca="1"/>
        <v>0.89735967765986058</v>
      </c>
      <c r="Q25">
        <f ca="1"/>
        <v>1</v>
      </c>
      <c r="R25">
        <f ca="1">IF(L25="","",6*AVERAGE($Q$7:Q25))</f>
        <v>2.5263157894736841</v>
      </c>
    </row>
    <row r="26" spans="1:21" x14ac:dyDescent="0.3">
      <c r="A26">
        <v>20</v>
      </c>
      <c r="B26">
        <f ca="1"/>
        <v>0.86885369761958242</v>
      </c>
      <c r="C26">
        <f ca="1"/>
        <v>2.3072004189726547E-2</v>
      </c>
      <c r="D26">
        <f ca="1"/>
        <v>0.75543906524455151</v>
      </c>
      <c r="E26">
        <f ca="1"/>
        <v>1</v>
      </c>
      <c r="F26">
        <f ca="1">IF(A26="","",4*AVERAGE($E$7:E26))</f>
        <v>2.8</v>
      </c>
      <c r="H26" s="2" t="s">
        <v>17</v>
      </c>
      <c r="L26">
        <v>20</v>
      </c>
      <c r="M26">
        <f ca="1"/>
        <v>-0.24502362108538156</v>
      </c>
      <c r="N26">
        <f ca="1"/>
        <v>0.11329232324245564</v>
      </c>
      <c r="O26">
        <f ca="1"/>
        <v>0.56323562589598608</v>
      </c>
      <c r="P26">
        <f ca="1"/>
        <v>0.39010609567390886</v>
      </c>
      <c r="Q26">
        <f ca="1"/>
        <v>1</v>
      </c>
      <c r="R26">
        <f ca="1">IF(L26="","",6*AVERAGE($Q$7:Q26))</f>
        <v>2.7</v>
      </c>
      <c r="T26" s="2" t="s">
        <v>26</v>
      </c>
    </row>
    <row r="27" spans="1:21" x14ac:dyDescent="0.3">
      <c r="A27">
        <v>21</v>
      </c>
      <c r="B27">
        <f ca="1"/>
        <v>-0.2657740386153975</v>
      </c>
      <c r="C27">
        <f ca="1"/>
        <v>-0.60430478749980598</v>
      </c>
      <c r="D27">
        <f ca="1"/>
        <v>0.43582011579712449</v>
      </c>
      <c r="E27">
        <f ca="1"/>
        <v>1</v>
      </c>
      <c r="F27">
        <f ca="1">IF(A27="","",4*AVERAGE($E$7:E27))</f>
        <v>2.8571428571428572</v>
      </c>
      <c r="H27" t="s">
        <v>18</v>
      </c>
      <c r="I27">
        <f>$B$2</f>
        <v>100</v>
      </c>
      <c r="L27">
        <v>21</v>
      </c>
      <c r="M27">
        <f ca="1"/>
        <v>-0.95705152409349359</v>
      </c>
      <c r="N27">
        <f ca="1"/>
        <v>-6.1222035341709224E-2</v>
      </c>
      <c r="O27">
        <f ca="1"/>
        <v>-0.71116340525582111</v>
      </c>
      <c r="P27">
        <f ca="1"/>
        <v>1.4254491463561156</v>
      </c>
      <c r="Q27">
        <f ca="1"/>
        <v>0</v>
      </c>
      <c r="R27">
        <f ca="1">IF(L27="","",6*AVERAGE($Q$7:Q27))</f>
        <v>2.5714285714285712</v>
      </c>
      <c r="T27" t="s">
        <v>18</v>
      </c>
      <c r="U27">
        <f>$C$2</f>
        <v>100</v>
      </c>
    </row>
    <row r="28" spans="1:21" x14ac:dyDescent="0.3">
      <c r="A28">
        <v>22</v>
      </c>
      <c r="B28">
        <f ca="1"/>
        <v>0.58203334526617723</v>
      </c>
      <c r="C28">
        <f ca="1"/>
        <v>0.26688926105739341</v>
      </c>
      <c r="D28">
        <f ca="1"/>
        <v>0.40999269266949856</v>
      </c>
      <c r="E28">
        <f ca="1"/>
        <v>1</v>
      </c>
      <c r="F28">
        <f ca="1">IF(A28="","",4*AVERAGE($E$7:E28))</f>
        <v>2.9090909090909092</v>
      </c>
      <c r="H28" t="s">
        <v>19</v>
      </c>
      <c r="I28">
        <f ca="1">AVERAGE(_xlfn.ANCHORARRAY(E7))</f>
        <v>0.71</v>
      </c>
      <c r="L28">
        <v>22</v>
      </c>
      <c r="M28">
        <f ca="1"/>
        <v>0.29164137183355154</v>
      </c>
      <c r="N28">
        <f ca="1"/>
        <v>0.3038414584860285</v>
      </c>
      <c r="O28">
        <f ca="1"/>
        <v>0.36796410884365827</v>
      </c>
      <c r="P28">
        <f ca="1"/>
        <v>0.31277190705698044</v>
      </c>
      <c r="Q28">
        <f ca="1"/>
        <v>1</v>
      </c>
      <c r="R28">
        <f ca="1">IF(L28="","",6*AVERAGE($Q$7:Q28))</f>
        <v>2.7272727272727271</v>
      </c>
      <c r="T28" t="s">
        <v>19</v>
      </c>
      <c r="U28">
        <f ca="1">AVERAGE(_xlfn.ANCHORARRAY(Q7))</f>
        <v>0.53</v>
      </c>
    </row>
    <row r="29" spans="1:21" x14ac:dyDescent="0.3">
      <c r="A29">
        <v>23</v>
      </c>
      <c r="B29">
        <f ca="1"/>
        <v>-0.57164617489807457</v>
      </c>
      <c r="C29">
        <f ca="1"/>
        <v>-0.40549765477495936</v>
      </c>
      <c r="D29">
        <f ca="1"/>
        <v>0.49120769730359215</v>
      </c>
      <c r="E29">
        <f ca="1"/>
        <v>1</v>
      </c>
      <c r="F29">
        <f ca="1">IF(A29="","",4*AVERAGE($E$7:E29))</f>
        <v>2.9565217391304346</v>
      </c>
      <c r="H29" t="s">
        <v>15</v>
      </c>
      <c r="I29">
        <f ca="1">4*I28</f>
        <v>2.84</v>
      </c>
      <c r="L29">
        <v>23</v>
      </c>
      <c r="M29">
        <f ca="1"/>
        <v>-0.55434898309486735</v>
      </c>
      <c r="N29">
        <f ca="1"/>
        <v>-0.66070728365349418</v>
      </c>
      <c r="O29">
        <f ca="1"/>
        <v>-8.7191646737150519E-2</v>
      </c>
      <c r="P29">
        <f ca="1"/>
        <v>0.75143929299182843</v>
      </c>
      <c r="Q29">
        <f ca="1"/>
        <v>1</v>
      </c>
      <c r="R29">
        <f ca="1">IF(L29="","",6*AVERAGE($Q$7:Q29))</f>
        <v>2.8695652173913047</v>
      </c>
      <c r="T29" t="s">
        <v>15</v>
      </c>
      <c r="U29">
        <f ca="1">6*AVERAGE(_xlfn.ANCHORARRAY(Q7))</f>
        <v>3.18</v>
      </c>
    </row>
    <row r="30" spans="1:21" x14ac:dyDescent="0.3">
      <c r="A30">
        <v>24</v>
      </c>
      <c r="B30">
        <f ca="1"/>
        <v>0.20331265378893981</v>
      </c>
      <c r="C30">
        <f ca="1"/>
        <v>-0.34689903379387399</v>
      </c>
      <c r="D30">
        <f ca="1"/>
        <v>0.16167497483782464</v>
      </c>
      <c r="E30">
        <f ca="1"/>
        <v>1</v>
      </c>
      <c r="F30">
        <f ca="1">IF(A30="","",4*AVERAGE($E$7:E30))</f>
        <v>3</v>
      </c>
      <c r="H30" t="s">
        <v>20</v>
      </c>
      <c r="I30">
        <f ca="1">4*SQRT(AVERAGE(_xlfn.ANCHORARRAY(E7))*(1-AVERAGE(_xlfn.ANCHORARRAY(E7)))/$B$2)</f>
        <v>0.18150482087261485</v>
      </c>
      <c r="L30">
        <v>24</v>
      </c>
      <c r="M30">
        <f ca="1"/>
        <v>3.3933455453660999E-2</v>
      </c>
      <c r="N30">
        <f ca="1"/>
        <v>0.47741049084271281</v>
      </c>
      <c r="O30">
        <f ca="1"/>
        <v>-0.41483058274618734</v>
      </c>
      <c r="P30">
        <f ca="1"/>
        <v>0.40115666854724696</v>
      </c>
      <c r="Q30">
        <f ca="1"/>
        <v>1</v>
      </c>
      <c r="R30">
        <f ca="1">IF(L30="","",6*AVERAGE($Q$7:Q30))</f>
        <v>3</v>
      </c>
      <c r="T30" t="s">
        <v>20</v>
      </c>
      <c r="U30">
        <f ca="1">6*SQRT(AVERAGE(_xlfn.ANCHORARRAY(Q7))*(1-AVERAGE(_xlfn.ANCHORARRAY(Q7)))/$C$2)</f>
        <v>0.29945951312322672</v>
      </c>
    </row>
    <row r="31" spans="1:21" x14ac:dyDescent="0.3">
      <c r="A31">
        <v>25</v>
      </c>
      <c r="B31">
        <f ca="1"/>
        <v>-0.3857130774035209</v>
      </c>
      <c r="C31">
        <f ca="1"/>
        <v>-0.77376311885179705</v>
      </c>
      <c r="D31">
        <f ca="1"/>
        <v>0.74748394217535474</v>
      </c>
      <c r="E31">
        <f ca="1"/>
        <v>1</v>
      </c>
      <c r="F31">
        <f ca="1">IF(A31="","",4*AVERAGE($E$7:E31))</f>
        <v>3.04</v>
      </c>
      <c r="H31" t="s">
        <v>21</v>
      </c>
      <c r="I31">
        <f ca="1">1.96*I30</f>
        <v>0.35574944891032512</v>
      </c>
      <c r="L31">
        <v>25</v>
      </c>
      <c r="M31">
        <f ca="1"/>
        <v>0.60432719016344305</v>
      </c>
      <c r="N31">
        <f ca="1"/>
        <v>-0.25716260334527874</v>
      </c>
      <c r="O31">
        <f ca="1"/>
        <v>0.54545791355715667</v>
      </c>
      <c r="P31">
        <f ca="1"/>
        <v>0.72886829279229004</v>
      </c>
      <c r="Q31">
        <f ca="1"/>
        <v>1</v>
      </c>
      <c r="R31">
        <f ca="1">IF(L31="","",6*AVERAGE($Q$7:Q31))</f>
        <v>3.12</v>
      </c>
      <c r="T31" t="s">
        <v>21</v>
      </c>
      <c r="U31">
        <f ca="1">1.96*U30</f>
        <v>0.58694064572152438</v>
      </c>
    </row>
    <row r="32" spans="1:21" x14ac:dyDescent="0.3">
      <c r="A32">
        <v>26</v>
      </c>
      <c r="B32">
        <f ca="1"/>
        <v>0.75350202643781716</v>
      </c>
      <c r="C32">
        <f ca="1"/>
        <v>0.14708920137867354</v>
      </c>
      <c r="D32">
        <f ca="1"/>
        <v>0.5894005370081129</v>
      </c>
      <c r="E32">
        <f ca="1"/>
        <v>1</v>
      </c>
      <c r="F32">
        <f ca="1">IF(A32="","",4*AVERAGE($E$7:E32))</f>
        <v>3.0769230769230771</v>
      </c>
      <c r="H32" t="s">
        <v>22</v>
      </c>
      <c r="I32">
        <f ca="1">I29-I31</f>
        <v>2.4842505510896746</v>
      </c>
      <c r="L32">
        <v>26</v>
      </c>
      <c r="M32">
        <f ca="1"/>
        <v>0.17762930867160232</v>
      </c>
      <c r="N32">
        <f ca="1"/>
        <v>0.24459550784129869</v>
      </c>
      <c r="O32">
        <f ca="1"/>
        <v>0.62740462251207729</v>
      </c>
      <c r="P32">
        <f ca="1"/>
        <v>0.48501569410481638</v>
      </c>
      <c r="Q32">
        <f ca="1"/>
        <v>1</v>
      </c>
      <c r="R32">
        <f ca="1">IF(L32="","",6*AVERAGE($Q$7:Q32))</f>
        <v>3.2307692307692308</v>
      </c>
      <c r="T32" t="s">
        <v>22</v>
      </c>
      <c r="U32">
        <f ca="1">U29-U31</f>
        <v>2.5930593542784757</v>
      </c>
    </row>
    <row r="33" spans="1:21" x14ac:dyDescent="0.3">
      <c r="A33">
        <v>27</v>
      </c>
      <c r="B33">
        <f ca="1"/>
        <v>-0.86480737967725352</v>
      </c>
      <c r="C33">
        <f ca="1"/>
        <v>0.28295920083774617</v>
      </c>
      <c r="D33">
        <f ca="1"/>
        <v>0.82795771328297341</v>
      </c>
      <c r="E33">
        <f ca="1"/>
        <v>1</v>
      </c>
      <c r="F33">
        <f ca="1">IF(A33="","",4*AVERAGE($E$7:E33))</f>
        <v>3.1111111111111112</v>
      </c>
      <c r="H33" t="s">
        <v>23</v>
      </c>
      <c r="I33">
        <f ca="1">I29+I31</f>
        <v>3.1957494489103251</v>
      </c>
      <c r="L33">
        <v>27</v>
      </c>
      <c r="M33">
        <f ca="1"/>
        <v>0.50285801399162011</v>
      </c>
      <c r="N33">
        <f ca="1"/>
        <v>0.79100364721003924</v>
      </c>
      <c r="O33">
        <f ca="1"/>
        <v>-0.57123502095453627</v>
      </c>
      <c r="P33">
        <f ca="1"/>
        <v>1.2048624013001101</v>
      </c>
      <c r="Q33">
        <f ca="1"/>
        <v>0</v>
      </c>
      <c r="R33">
        <f ca="1">IF(L33="","",6*AVERAGE($Q$7:Q33))</f>
        <v>3.1111111111111107</v>
      </c>
      <c r="T33" t="s">
        <v>23</v>
      </c>
      <c r="U33">
        <f ca="1">U29+U31</f>
        <v>3.7669406457215246</v>
      </c>
    </row>
    <row r="34" spans="1:21" x14ac:dyDescent="0.3">
      <c r="A34">
        <v>28</v>
      </c>
      <c r="B34">
        <f ca="1"/>
        <v>0.63747834618213139</v>
      </c>
      <c r="C34">
        <f ca="1"/>
        <v>-0.21316470600611592</v>
      </c>
      <c r="D34">
        <f ca="1"/>
        <v>0.45181783373777917</v>
      </c>
      <c r="E34">
        <f ca="1"/>
        <v>1</v>
      </c>
      <c r="F34">
        <f ca="1">IF(A34="","",4*AVERAGE($E$7:E34))</f>
        <v>3.1428571428571428</v>
      </c>
      <c r="H34" t="s">
        <v>27</v>
      </c>
      <c r="I34">
        <f ca="1">ROUNDUP((1.96*4)^2*I28*(1-I28)/(0.01^2),0)</f>
        <v>126558</v>
      </c>
      <c r="L34">
        <v>28</v>
      </c>
      <c r="M34">
        <f ca="1"/>
        <v>-0.29262293534581585</v>
      </c>
      <c r="N34">
        <f ca="1"/>
        <v>-0.88092792824502109</v>
      </c>
      <c r="O34">
        <f ca="1"/>
        <v>-0.35227774845162685</v>
      </c>
      <c r="P34">
        <f ca="1"/>
        <v>0.98576180910661415</v>
      </c>
      <c r="Q34">
        <f ca="1"/>
        <v>1</v>
      </c>
      <c r="R34">
        <f ca="1">IF(L34="","",6*AVERAGE($Q$7:Q34))</f>
        <v>3.2142857142857144</v>
      </c>
      <c r="T34" t="s">
        <v>27</v>
      </c>
      <c r="U34">
        <f ca="1">ROUNDUP((1.96*6)^2*AVERAGE(_xlfn.ANCHORARRAY(Q7))*(1-AVERAGE(_xlfn.ANCHORARRAY(Q7)))/(0.01^2),0)</f>
        <v>344500</v>
      </c>
    </row>
    <row r="35" spans="1:21" x14ac:dyDescent="0.3">
      <c r="A35">
        <v>29</v>
      </c>
      <c r="B35">
        <f ca="1"/>
        <v>0.81416647416336207</v>
      </c>
      <c r="C35">
        <f ca="1"/>
        <v>0.83222717497929355</v>
      </c>
      <c r="D35">
        <f ca="1"/>
        <v>1.3554691184256162</v>
      </c>
      <c r="E35">
        <f ca="1"/>
        <v>0</v>
      </c>
      <c r="F35">
        <f ca="1">IF(A35="","",4*AVERAGE($E$7:E35))</f>
        <v>3.0344827586206895</v>
      </c>
      <c r="H35" t="s">
        <v>28</v>
      </c>
      <c r="I35" t="str">
        <f ca="1">IF(I31&lt;=0.01,"Yes","No")</f>
        <v>No</v>
      </c>
      <c r="L35">
        <v>29</v>
      </c>
      <c r="M35">
        <f ca="1"/>
        <v>-4.7988105103728529E-2</v>
      </c>
      <c r="N35">
        <f ca="1"/>
        <v>-2.4762474624839825E-2</v>
      </c>
      <c r="O35">
        <f ca="1"/>
        <v>-0.45109454343893884</v>
      </c>
      <c r="P35">
        <f ca="1"/>
        <v>0.20640232550137702</v>
      </c>
      <c r="Q35">
        <f ca="1"/>
        <v>1</v>
      </c>
      <c r="R35">
        <f ca="1">IF(L35="","",6*AVERAGE($Q$7:Q35))</f>
        <v>3.3103448275862069</v>
      </c>
      <c r="T35" t="s">
        <v>28</v>
      </c>
      <c r="U35" t="str">
        <f ca="1">IF(U31&lt;=0.01,"Yes","No")</f>
        <v>No</v>
      </c>
    </row>
    <row r="36" spans="1:21" x14ac:dyDescent="0.3">
      <c r="A36">
        <v>30</v>
      </c>
      <c r="B36">
        <f ca="1"/>
        <v>-0.12623135790414342</v>
      </c>
      <c r="C36">
        <f ca="1"/>
        <v>0.26917561630738152</v>
      </c>
      <c r="D36">
        <f ca="1"/>
        <v>8.8389868132782629E-2</v>
      </c>
      <c r="E36">
        <f ca="1"/>
        <v>1</v>
      </c>
      <c r="F36">
        <f ca="1">IF(A36="","",4*AVERAGE($E$7:E36))</f>
        <v>3.0666666666666669</v>
      </c>
      <c r="L36">
        <v>30</v>
      </c>
      <c r="M36">
        <f ca="1"/>
        <v>-0.48653235234573944</v>
      </c>
      <c r="N36">
        <f ca="1"/>
        <v>-0.14416028641360534</v>
      </c>
      <c r="O36">
        <f ca="1"/>
        <v>0.29310873288606643</v>
      </c>
      <c r="P36">
        <f ca="1"/>
        <v>0.34340864735200693</v>
      </c>
      <c r="Q36">
        <f ca="1"/>
        <v>1</v>
      </c>
      <c r="R36">
        <f ca="1">IF(L36="","",6*AVERAGE($Q$7:Q36))</f>
        <v>3.4</v>
      </c>
    </row>
    <row r="37" spans="1:21" x14ac:dyDescent="0.3">
      <c r="A37">
        <v>31</v>
      </c>
      <c r="B37">
        <f ca="1"/>
        <v>4.0085626527266438E-2</v>
      </c>
      <c r="C37">
        <f ca="1"/>
        <v>-0.56645892445954948</v>
      </c>
      <c r="D37">
        <f ca="1"/>
        <v>0.32248257055395307</v>
      </c>
      <c r="E37">
        <f ca="1"/>
        <v>1</v>
      </c>
      <c r="F37">
        <f ca="1">IF(A37="","",4*AVERAGE($E$7:E37))</f>
        <v>3.096774193548387</v>
      </c>
      <c r="L37">
        <v>31</v>
      </c>
      <c r="M37">
        <f ca="1"/>
        <v>0.42629392975205338</v>
      </c>
      <c r="N37">
        <f ca="1"/>
        <v>0.72869031714502475</v>
      </c>
      <c r="O37">
        <f ca="1"/>
        <v>0.46555189349377679</v>
      </c>
      <c r="P37">
        <f ca="1"/>
        <v>0.92945465838000629</v>
      </c>
      <c r="Q37">
        <f ca="1"/>
        <v>1</v>
      </c>
      <c r="R37">
        <f ca="1">IF(L37="","",6*AVERAGE($Q$7:Q37))</f>
        <v>3.4838709677419359</v>
      </c>
    </row>
    <row r="38" spans="1:21" x14ac:dyDescent="0.3">
      <c r="A38">
        <v>32</v>
      </c>
      <c r="B38">
        <f ca="1"/>
        <v>0.34362738932183312</v>
      </c>
      <c r="C38">
        <f ca="1"/>
        <v>6.2109377737060045E-2</v>
      </c>
      <c r="D38">
        <f ca="1"/>
        <v>0.12193735749502349</v>
      </c>
      <c r="E38">
        <f ca="1"/>
        <v>1</v>
      </c>
      <c r="F38">
        <f ca="1">IF(A38="","",4*AVERAGE($E$7:E38))</f>
        <v>3.125</v>
      </c>
      <c r="L38">
        <v>32</v>
      </c>
      <c r="M38">
        <f ca="1"/>
        <v>0.90306728577267781</v>
      </c>
      <c r="N38">
        <f ca="1"/>
        <v>0.18409006288659646</v>
      </c>
      <c r="O38">
        <f ca="1"/>
        <v>-3.7122284646394332E-2</v>
      </c>
      <c r="P38">
        <f ca="1"/>
        <v>0.85079773790379032</v>
      </c>
      <c r="Q38">
        <f ca="1"/>
        <v>1</v>
      </c>
      <c r="R38">
        <f ca="1">IF(L38="","",6*AVERAGE($Q$7:Q38))</f>
        <v>3.5625</v>
      </c>
      <c r="T38" s="3" t="s">
        <v>56</v>
      </c>
    </row>
    <row r="39" spans="1:21" x14ac:dyDescent="0.3">
      <c r="A39">
        <v>33</v>
      </c>
      <c r="B39">
        <f ca="1"/>
        <v>-0.70487913881032571</v>
      </c>
      <c r="C39">
        <f ca="1"/>
        <v>0.6355836449615142</v>
      </c>
      <c r="D39">
        <f ca="1"/>
        <v>0.90082117007255058</v>
      </c>
      <c r="E39">
        <f ca="1"/>
        <v>1</v>
      </c>
      <c r="F39">
        <f ca="1">IF(A39="","",4*AVERAGE($E$7:E39))</f>
        <v>3.1515151515151514</v>
      </c>
      <c r="L39">
        <v>33</v>
      </c>
      <c r="M39">
        <f ca="1"/>
        <v>0.87463388569494405</v>
      </c>
      <c r="N39">
        <f ca="1"/>
        <v>0.14797644893108353</v>
      </c>
      <c r="O39">
        <f ca="1"/>
        <v>0.74129340996370763</v>
      </c>
      <c r="P39">
        <f ca="1"/>
        <v>1.3363973830997116</v>
      </c>
      <c r="Q39">
        <f ca="1"/>
        <v>0</v>
      </c>
      <c r="R39">
        <f ca="1">IF(L39="","",6*AVERAGE($Q$7:Q39))</f>
        <v>3.454545454545455</v>
      </c>
      <c r="T39" s="2" t="s">
        <v>29</v>
      </c>
      <c r="U39" s="2" t="str">
        <f ca="1">IF(I34&lt;U34,"2D method","3D method")</f>
        <v>2D method</v>
      </c>
    </row>
    <row r="40" spans="1:21" x14ac:dyDescent="0.3">
      <c r="A40">
        <v>34</v>
      </c>
      <c r="B40">
        <f ca="1"/>
        <v>0.31929393812873297</v>
      </c>
      <c r="C40">
        <f ca="1"/>
        <v>-0.7937390011587766</v>
      </c>
      <c r="D40">
        <f ca="1"/>
        <v>0.73197022088628749</v>
      </c>
      <c r="E40">
        <f ca="1"/>
        <v>1</v>
      </c>
      <c r="F40">
        <f ca="1">IF(A40="","",4*AVERAGE($E$7:E40))</f>
        <v>3.1764705882352939</v>
      </c>
      <c r="L40">
        <v>34</v>
      </c>
      <c r="M40">
        <f ca="1"/>
        <v>0.98882178909062057</v>
      </c>
      <c r="N40">
        <f ca="1"/>
        <v>-0.40789787240071007</v>
      </c>
      <c r="O40">
        <f ca="1"/>
        <v>-0.75850657663888943</v>
      </c>
      <c r="P40">
        <f ca="1"/>
        <v>1.7194814316938491</v>
      </c>
      <c r="Q40">
        <f ca="1"/>
        <v>0</v>
      </c>
      <c r="R40">
        <f ca="1">IF(L40="","",6*AVERAGE($Q$7:Q40))</f>
        <v>3.3529411764705883</v>
      </c>
      <c r="T40" t="s">
        <v>30</v>
      </c>
      <c r="U40" t="s">
        <v>31</v>
      </c>
    </row>
    <row r="41" spans="1:21" x14ac:dyDescent="0.3">
      <c r="A41">
        <v>35</v>
      </c>
      <c r="B41">
        <f ca="1"/>
        <v>-0.82682374876860587</v>
      </c>
      <c r="C41">
        <f ca="1"/>
        <v>-0.52805172076492068</v>
      </c>
      <c r="D41">
        <f ca="1"/>
        <v>0.96247613133056442</v>
      </c>
      <c r="E41">
        <f ca="1"/>
        <v>1</v>
      </c>
      <c r="F41">
        <f ca="1">IF(A41="","",4*AVERAGE($E$7:E41))</f>
        <v>3.2</v>
      </c>
      <c r="L41">
        <v>35</v>
      </c>
      <c r="M41">
        <f ca="1"/>
        <v>0.64780721355163529</v>
      </c>
      <c r="N41">
        <f ca="1"/>
        <v>-0.92555803691548877</v>
      </c>
      <c r="O41">
        <f ca="1"/>
        <v>0.63284467877847894</v>
      </c>
      <c r="P41">
        <f ca="1"/>
        <v>1.6768042530866236</v>
      </c>
      <c r="Q41">
        <f ca="1"/>
        <v>0</v>
      </c>
      <c r="R41">
        <f ca="1">IF(L41="","",6*AVERAGE($Q$7:Q41))</f>
        <v>3.2571428571428571</v>
      </c>
    </row>
    <row r="42" spans="1:21" x14ac:dyDescent="0.3">
      <c r="A42">
        <v>36</v>
      </c>
      <c r="B42">
        <f ca="1"/>
        <v>-0.45546305134300757</v>
      </c>
      <c r="C42">
        <f ca="1"/>
        <v>0.66087355168408068</v>
      </c>
      <c r="D42">
        <f ca="1"/>
        <v>0.64420044245421437</v>
      </c>
      <c r="E42">
        <f ca="1"/>
        <v>1</v>
      </c>
      <c r="F42">
        <f ca="1">IF(A42="","",4*AVERAGE($E$7:E42))</f>
        <v>3.2222222222222223</v>
      </c>
      <c r="L42">
        <v>36</v>
      </c>
      <c r="M42">
        <f ca="1"/>
        <v>5.9274834559932987E-2</v>
      </c>
      <c r="N42">
        <f ca="1"/>
        <v>0.95287634606741278</v>
      </c>
      <c r="O42">
        <f ca="1"/>
        <v>-0.79014869854762093</v>
      </c>
      <c r="P42">
        <f ca="1"/>
        <v>1.5358218027233903</v>
      </c>
      <c r="Q42">
        <f ca="1"/>
        <v>0</v>
      </c>
      <c r="R42">
        <f ca="1">IF(L42="","",6*AVERAGE($Q$7:Q42))</f>
        <v>3.166666666666667</v>
      </c>
    </row>
    <row r="43" spans="1:21" x14ac:dyDescent="0.3">
      <c r="A43">
        <v>37</v>
      </c>
      <c r="B43">
        <f ca="1"/>
        <v>-0.7981277078422242</v>
      </c>
      <c r="C43">
        <f ca="1"/>
        <v>0.3519262899752118</v>
      </c>
      <c r="D43">
        <f ca="1"/>
        <v>0.76085995160119968</v>
      </c>
      <c r="E43">
        <f ca="1"/>
        <v>1</v>
      </c>
      <c r="F43">
        <f ca="1">IF(A43="","",4*AVERAGE($E$7:E43))</f>
        <v>3.2432432432432434</v>
      </c>
      <c r="L43">
        <v>37</v>
      </c>
      <c r="M43">
        <f ca="1"/>
        <v>-0.7497307338087249</v>
      </c>
      <c r="N43">
        <f ca="1"/>
        <v>-0.8993547987072803</v>
      </c>
      <c r="O43">
        <f ca="1"/>
        <v>-0.3332882779799311</v>
      </c>
      <c r="P43">
        <f ca="1"/>
        <v>1.4820163034140097</v>
      </c>
      <c r="Q43">
        <f ca="1"/>
        <v>0</v>
      </c>
      <c r="R43">
        <f ca="1">IF(L43="","",6*AVERAGE($Q$7:Q43))</f>
        <v>3.0810810810810807</v>
      </c>
    </row>
    <row r="44" spans="1:21" x14ac:dyDescent="0.3">
      <c r="A44">
        <v>38</v>
      </c>
      <c r="B44">
        <f ca="1"/>
        <v>-0.93372108478082505</v>
      </c>
      <c r="C44">
        <f ca="1"/>
        <v>0.75260671302127791</v>
      </c>
      <c r="D44">
        <f ca="1"/>
        <v>1.438251928648973</v>
      </c>
      <c r="E44">
        <f ca="1"/>
        <v>0</v>
      </c>
      <c r="F44">
        <f ca="1">IF(A44="","",4*AVERAGE($E$7:E44))</f>
        <v>3.1578947368421053</v>
      </c>
      <c r="L44">
        <v>38</v>
      </c>
      <c r="M44">
        <f ca="1"/>
        <v>-0.28156741777216254</v>
      </c>
      <c r="N44">
        <f ca="1"/>
        <v>0.9189950557926041</v>
      </c>
      <c r="O44">
        <f ca="1"/>
        <v>-0.73702029563208482</v>
      </c>
      <c r="P44">
        <f ca="1"/>
        <v>1.4670310394957409</v>
      </c>
      <c r="Q44">
        <f ca="1"/>
        <v>0</v>
      </c>
      <c r="R44">
        <f ca="1">IF(L44="","",6*AVERAGE($Q$7:Q44))</f>
        <v>3</v>
      </c>
    </row>
    <row r="45" spans="1:21" x14ac:dyDescent="0.3">
      <c r="A45">
        <v>39</v>
      </c>
      <c r="B45">
        <f ca="1"/>
        <v>-0.3287800004605832</v>
      </c>
      <c r="C45">
        <f ca="1"/>
        <v>0.11917981047767601</v>
      </c>
      <c r="D45">
        <f ca="1"/>
        <v>0.12230011592835585</v>
      </c>
      <c r="E45">
        <f ca="1"/>
        <v>1</v>
      </c>
      <c r="F45">
        <f ca="1">IF(A45="","",4*AVERAGE($E$7:E45))</f>
        <v>3.1794871794871793</v>
      </c>
      <c r="L45">
        <v>39</v>
      </c>
      <c r="M45">
        <f ca="1"/>
        <v>-0.26817727983944595</v>
      </c>
      <c r="N45">
        <f ca="1"/>
        <v>0.84346816469872876</v>
      </c>
      <c r="O45">
        <f ca="1"/>
        <v>0.9992015880813554</v>
      </c>
      <c r="P45">
        <f ca="1"/>
        <v>1.781761411906629</v>
      </c>
      <c r="Q45">
        <f ca="1"/>
        <v>0</v>
      </c>
      <c r="R45">
        <f ca="1">IF(L45="","",6*AVERAGE($Q$7:Q45))</f>
        <v>2.9230769230769229</v>
      </c>
    </row>
    <row r="46" spans="1:21" x14ac:dyDescent="0.3">
      <c r="A46">
        <v>40</v>
      </c>
      <c r="B46">
        <f ca="1"/>
        <v>0.18454052535958487</v>
      </c>
      <c r="C46">
        <f ca="1"/>
        <v>-0.75824838888583335</v>
      </c>
      <c r="D46">
        <f ca="1"/>
        <v>0.60899582474795355</v>
      </c>
      <c r="E46">
        <f ca="1"/>
        <v>1</v>
      </c>
      <c r="F46">
        <f ca="1">IF(A46="","",4*AVERAGE($E$7:E46))</f>
        <v>3.2</v>
      </c>
      <c r="L46">
        <v>40</v>
      </c>
      <c r="M46">
        <f ca="1"/>
        <v>0.51669135975442249</v>
      </c>
      <c r="N46">
        <f ca="1"/>
        <v>-0.64328465448851113</v>
      </c>
      <c r="O46">
        <f ca="1"/>
        <v>0.87645698166492636</v>
      </c>
      <c r="P46">
        <f ca="1"/>
        <v>1.4489619486544703</v>
      </c>
      <c r="Q46">
        <f ca="1"/>
        <v>0</v>
      </c>
      <c r="R46">
        <f ca="1">IF(L46="","",6*AVERAGE($Q$7:Q46))</f>
        <v>2.8499999999999996</v>
      </c>
    </row>
    <row r="47" spans="1:21" x14ac:dyDescent="0.3">
      <c r="A47">
        <v>41</v>
      </c>
      <c r="B47">
        <f ca="1"/>
        <v>0.63506357934458801</v>
      </c>
      <c r="C47">
        <f ca="1"/>
        <v>0.85429288809658233</v>
      </c>
      <c r="D47">
        <f ca="1"/>
        <v>1.1331220884623594</v>
      </c>
      <c r="E47">
        <f ca="1"/>
        <v>0</v>
      </c>
      <c r="F47">
        <f ca="1">IF(A47="","",4*AVERAGE($E$7:E47))</f>
        <v>3.1219512195121952</v>
      </c>
      <c r="L47">
        <v>41</v>
      </c>
      <c r="M47">
        <f ca="1"/>
        <v>0.80775323697024803</v>
      </c>
      <c r="N47">
        <f ca="1"/>
        <v>0.41151944243243999</v>
      </c>
      <c r="O47">
        <f ca="1"/>
        <v>-7.3761885037676223E-2</v>
      </c>
      <c r="P47">
        <f ca="1"/>
        <v>0.82725435902013134</v>
      </c>
      <c r="Q47">
        <f ca="1"/>
        <v>1</v>
      </c>
      <c r="R47">
        <f ca="1">IF(L47="","",6*AVERAGE($Q$7:Q47))</f>
        <v>2.9268292682926829</v>
      </c>
    </row>
    <row r="48" spans="1:21" x14ac:dyDescent="0.3">
      <c r="A48">
        <v>42</v>
      </c>
      <c r="B48">
        <f ca="1"/>
        <v>-0.99472622256505128</v>
      </c>
      <c r="C48">
        <f ca="1"/>
        <v>0.51329306218560422</v>
      </c>
      <c r="D48">
        <f ca="1"/>
        <v>1.2529500255464106</v>
      </c>
      <c r="E48">
        <f ca="1"/>
        <v>0</v>
      </c>
      <c r="F48">
        <f ca="1">IF(A48="","",4*AVERAGE($E$7:E48))</f>
        <v>3.0476190476190474</v>
      </c>
      <c r="L48">
        <v>42</v>
      </c>
      <c r="M48">
        <f ca="1"/>
        <v>-0.99935224874043538</v>
      </c>
      <c r="N48">
        <f ca="1"/>
        <v>-0.4014770548438622</v>
      </c>
      <c r="O48">
        <f ca="1"/>
        <v>-0.34972457502929588</v>
      </c>
      <c r="P48">
        <f ca="1"/>
        <v>1.2821960210080883</v>
      </c>
      <c r="Q48">
        <f ca="1"/>
        <v>0</v>
      </c>
      <c r="R48">
        <f ca="1">IF(L48="","",6*AVERAGE($Q$7:Q48))</f>
        <v>2.8571428571428568</v>
      </c>
    </row>
    <row r="49" spans="1:18" x14ac:dyDescent="0.3">
      <c r="A49">
        <v>43</v>
      </c>
      <c r="B49">
        <f ca="1"/>
        <v>0.57532719628814299</v>
      </c>
      <c r="C49">
        <f ca="1"/>
        <v>-2.1858439949877129E-2</v>
      </c>
      <c r="D49">
        <f ca="1"/>
        <v>0.33147917418581785</v>
      </c>
      <c r="E49">
        <f ca="1"/>
        <v>1</v>
      </c>
      <c r="F49">
        <f ca="1">IF(A49="","",4*AVERAGE($E$7:E49))</f>
        <v>3.0697674418604652</v>
      </c>
      <c r="L49">
        <v>43</v>
      </c>
      <c r="M49">
        <f ca="1"/>
        <v>-0.93624871009881527</v>
      </c>
      <c r="N49">
        <f ca="1"/>
        <v>0.97326134266434927</v>
      </c>
      <c r="O49">
        <f ca="1"/>
        <v>-0.63352824977854172</v>
      </c>
      <c r="P49">
        <f ca="1"/>
        <v>2.2251573315539694</v>
      </c>
      <c r="Q49">
        <f ca="1"/>
        <v>0</v>
      </c>
      <c r="R49">
        <f ca="1">IF(L49="","",6*AVERAGE($Q$7:Q49))</f>
        <v>2.7906976744186047</v>
      </c>
    </row>
    <row r="50" spans="1:18" x14ac:dyDescent="0.3">
      <c r="A50">
        <v>44</v>
      </c>
      <c r="B50">
        <f ca="1"/>
        <v>-0.9729756799618805</v>
      </c>
      <c r="C50">
        <f ca="1"/>
        <v>0.96455753383748788</v>
      </c>
      <c r="D50">
        <f ca="1"/>
        <v>1.8770529098799402</v>
      </c>
      <c r="E50">
        <f ca="1"/>
        <v>0</v>
      </c>
      <c r="F50">
        <f ca="1">IF(A50="","",4*AVERAGE($E$7:E50))</f>
        <v>3</v>
      </c>
      <c r="L50">
        <v>44</v>
      </c>
      <c r="M50">
        <f ca="1"/>
        <v>-5.1368564853293774E-2</v>
      </c>
      <c r="N50">
        <f ca="1"/>
        <v>-0.63495432591536938</v>
      </c>
      <c r="O50">
        <f ca="1"/>
        <v>-0.24187524475854816</v>
      </c>
      <c r="P50">
        <f ca="1"/>
        <v>0.46430935948073576</v>
      </c>
      <c r="Q50">
        <f ca="1"/>
        <v>1</v>
      </c>
      <c r="R50">
        <f ca="1">IF(L50="","",6*AVERAGE($Q$7:Q50))</f>
        <v>2.8636363636363638</v>
      </c>
    </row>
    <row r="51" spans="1:18" x14ac:dyDescent="0.3">
      <c r="A51">
        <v>45</v>
      </c>
      <c r="B51">
        <f ca="1"/>
        <v>0.69373876870660522</v>
      </c>
      <c r="C51">
        <f ca="1"/>
        <v>0.15238165295349493</v>
      </c>
      <c r="D51">
        <f ca="1"/>
        <v>0.50449364736339608</v>
      </c>
      <c r="E51">
        <f ca="1"/>
        <v>1</v>
      </c>
      <c r="F51">
        <f ca="1">IF(A51="","",4*AVERAGE($E$7:E51))</f>
        <v>3.0222222222222221</v>
      </c>
      <c r="L51">
        <v>45</v>
      </c>
      <c r="M51">
        <f ca="1"/>
        <v>0.70522672133539954</v>
      </c>
      <c r="N51">
        <f ca="1"/>
        <v>0.23978713514908279</v>
      </c>
      <c r="O51">
        <f ca="1"/>
        <v>0.28239992346274301</v>
      </c>
      <c r="P51">
        <f ca="1"/>
        <v>0.63459231544024486</v>
      </c>
      <c r="Q51">
        <f ca="1"/>
        <v>1</v>
      </c>
      <c r="R51">
        <f ca="1">IF(L51="","",6*AVERAGE($Q$7:Q51))</f>
        <v>2.9333333333333331</v>
      </c>
    </row>
    <row r="52" spans="1:18" x14ac:dyDescent="0.3">
      <c r="A52">
        <v>46</v>
      </c>
      <c r="B52">
        <f ca="1"/>
        <v>-0.4361005901401791</v>
      </c>
      <c r="C52">
        <f ca="1"/>
        <v>6.7688217701205255E-2</v>
      </c>
      <c r="D52">
        <f ca="1"/>
        <v>0.19476541953617824</v>
      </c>
      <c r="E52">
        <f ca="1"/>
        <v>1</v>
      </c>
      <c r="F52">
        <f ca="1">IF(A52="","",4*AVERAGE($E$7:E52))</f>
        <v>3.0434782608695654</v>
      </c>
      <c r="L52">
        <v>46</v>
      </c>
      <c r="M52">
        <f ca="1"/>
        <v>0.19267458358471701</v>
      </c>
      <c r="N52">
        <f ca="1"/>
        <v>0.84590088060043223</v>
      </c>
      <c r="O52">
        <f ca="1"/>
        <v>-0.4765787351827302</v>
      </c>
      <c r="P52">
        <f ca="1"/>
        <v>0.97979908578850161</v>
      </c>
      <c r="Q52">
        <f ca="1"/>
        <v>1</v>
      </c>
      <c r="R52">
        <f ca="1">IF(L52="","",6*AVERAGE($Q$7:Q52))</f>
        <v>3</v>
      </c>
    </row>
    <row r="53" spans="1:18" x14ac:dyDescent="0.3">
      <c r="A53">
        <v>47</v>
      </c>
      <c r="B53">
        <f ca="1"/>
        <v>-0.63273351816380674</v>
      </c>
      <c r="C53">
        <f ca="1"/>
        <v>0.95778675123612023</v>
      </c>
      <c r="D53">
        <f ca="1"/>
        <v>1.3177071658513899</v>
      </c>
      <c r="E53">
        <f ca="1"/>
        <v>0</v>
      </c>
      <c r="F53">
        <f ca="1">IF(A53="","",4*AVERAGE($E$7:E53))</f>
        <v>2.978723404255319</v>
      </c>
      <c r="L53">
        <v>47</v>
      </c>
      <c r="M53">
        <f ca="1"/>
        <v>0.61543600563845935</v>
      </c>
      <c r="N53">
        <f ca="1"/>
        <v>-7.4998496274859106E-2</v>
      </c>
      <c r="O53">
        <f ca="1"/>
        <v>-4.4318507144271768E-2</v>
      </c>
      <c r="P53">
        <f ca="1"/>
        <v>0.38635038155520873</v>
      </c>
      <c r="Q53">
        <f ca="1"/>
        <v>1</v>
      </c>
      <c r="R53">
        <f ca="1">IF(L53="","",6*AVERAGE($Q$7:Q53))</f>
        <v>3.0638297872340425</v>
      </c>
    </row>
    <row r="54" spans="1:18" x14ac:dyDescent="0.3">
      <c r="A54">
        <v>48</v>
      </c>
      <c r="B54">
        <f ca="1"/>
        <v>0.74544414819698734</v>
      </c>
      <c r="C54">
        <f ca="1"/>
        <v>-0.93542062870707432</v>
      </c>
      <c r="D54">
        <f ca="1"/>
        <v>1.4306987306918701</v>
      </c>
      <c r="E54">
        <f ca="1"/>
        <v>0</v>
      </c>
      <c r="F54">
        <f ca="1">IF(A54="","",4*AVERAGE($E$7:E54))</f>
        <v>2.9166666666666665</v>
      </c>
      <c r="L54">
        <v>48</v>
      </c>
      <c r="M54">
        <f ca="1"/>
        <v>-2.1333953448675169E-2</v>
      </c>
      <c r="N54">
        <f ca="1"/>
        <v>-8.4762218027705005E-2</v>
      </c>
      <c r="O54">
        <f ca="1"/>
        <v>0.73767024868983477</v>
      </c>
      <c r="P54">
        <f ca="1"/>
        <v>0.55179716697684911</v>
      </c>
      <c r="Q54">
        <f ca="1"/>
        <v>1</v>
      </c>
      <c r="R54">
        <f ca="1">IF(L54="","",6*AVERAGE($Q$7:Q54))</f>
        <v>3.125</v>
      </c>
    </row>
    <row r="55" spans="1:18" x14ac:dyDescent="0.3">
      <c r="A55">
        <v>49</v>
      </c>
      <c r="B55">
        <f ca="1"/>
        <v>0.53949229591762649</v>
      </c>
      <c r="C55">
        <f ca="1"/>
        <v>0.87105416178893713</v>
      </c>
      <c r="D55">
        <f ca="1"/>
        <v>1.0497872901242997</v>
      </c>
      <c r="E55">
        <f ca="1"/>
        <v>0</v>
      </c>
      <c r="F55">
        <f ca="1">IF(A55="","",4*AVERAGE($E$7:E55))</f>
        <v>2.8571428571428572</v>
      </c>
      <c r="L55">
        <v>49</v>
      </c>
      <c r="M55">
        <f ca="1"/>
        <v>0.77253726699747438</v>
      </c>
      <c r="N55">
        <f ca="1"/>
        <v>0.96395428228238056</v>
      </c>
      <c r="O55">
        <f ca="1"/>
        <v>-0.84384160382604834</v>
      </c>
      <c r="P55">
        <f ca="1"/>
        <v>2.2380903395781839</v>
      </c>
      <c r="Q55">
        <f ca="1"/>
        <v>0</v>
      </c>
      <c r="R55">
        <f ca="1">IF(L55="","",6*AVERAGE($Q$7:Q55))</f>
        <v>3.0612244897959187</v>
      </c>
    </row>
    <row r="56" spans="1:18" x14ac:dyDescent="0.3">
      <c r="A56">
        <v>50</v>
      </c>
      <c r="B56">
        <f ca="1"/>
        <v>0.38104652679468054</v>
      </c>
      <c r="C56">
        <f ca="1"/>
        <v>0.80595465973891867</v>
      </c>
      <c r="D56">
        <f ca="1"/>
        <v>0.79475936913716538</v>
      </c>
      <c r="E56">
        <f ca="1"/>
        <v>1</v>
      </c>
      <c r="F56">
        <f ca="1">IF(A56="","",4*AVERAGE($E$7:E56))</f>
        <v>2.88</v>
      </c>
      <c r="L56">
        <v>50</v>
      </c>
      <c r="M56">
        <f ca="1"/>
        <v>-0.21353561144716338</v>
      </c>
      <c r="N56">
        <f ca="1"/>
        <v>-0.32718585164792691</v>
      </c>
      <c r="O56">
        <f ca="1"/>
        <v>0.6625694328756877</v>
      </c>
      <c r="P56">
        <f ca="1"/>
        <v>0.59164629225590359</v>
      </c>
      <c r="Q56">
        <f ca="1"/>
        <v>1</v>
      </c>
      <c r="R56">
        <f ca="1">IF(L56="","",6*AVERAGE($Q$7:Q56))</f>
        <v>3.12</v>
      </c>
    </row>
    <row r="57" spans="1:18" x14ac:dyDescent="0.3">
      <c r="A57">
        <v>51</v>
      </c>
      <c r="B57">
        <f ca="1"/>
        <v>0.86599172734996532</v>
      </c>
      <c r="C57">
        <f ca="1"/>
        <v>-9.2162752960263106E-2</v>
      </c>
      <c r="D57">
        <f ca="1"/>
        <v>0.75843564487179116</v>
      </c>
      <c r="E57">
        <f ca="1"/>
        <v>1</v>
      </c>
      <c r="F57">
        <f ca="1">IF(A57="","",4*AVERAGE($E$7:E57))</f>
        <v>2.9019607843137254</v>
      </c>
      <c r="L57">
        <v>51</v>
      </c>
      <c r="M57">
        <f ca="1"/>
        <v>0.73293892435842234</v>
      </c>
      <c r="N57">
        <f ca="1"/>
        <v>0.99666734964008219</v>
      </c>
      <c r="O57">
        <f ca="1"/>
        <v>0.31572917717352045</v>
      </c>
      <c r="P57">
        <f ca="1"/>
        <v>1.6302301859969355</v>
      </c>
      <c r="Q57">
        <f ca="1"/>
        <v>0</v>
      </c>
      <c r="R57">
        <f ca="1">IF(L57="","",6*AVERAGE($Q$7:Q57))</f>
        <v>3.0588235294117645</v>
      </c>
    </row>
    <row r="58" spans="1:18" x14ac:dyDescent="0.3">
      <c r="A58">
        <v>52</v>
      </c>
      <c r="B58">
        <f ca="1"/>
        <v>0.58843559315942207</v>
      </c>
      <c r="C58">
        <f ca="1"/>
        <v>0.86640184613454485</v>
      </c>
      <c r="D58">
        <f ca="1"/>
        <v>1.0969086062822284</v>
      </c>
      <c r="E58">
        <f ca="1"/>
        <v>0</v>
      </c>
      <c r="F58">
        <f ca="1">IF(A58="","",4*AVERAGE($E$7:E58))</f>
        <v>2.8461538461538463</v>
      </c>
      <c r="L58">
        <v>52</v>
      </c>
      <c r="M58">
        <f ca="1"/>
        <v>-0.14889797352121459</v>
      </c>
      <c r="N58">
        <f ca="1"/>
        <v>0.71738286342409463</v>
      </c>
      <c r="O58">
        <f ca="1"/>
        <v>0.45779860173442377</v>
      </c>
      <c r="P58">
        <f ca="1"/>
        <v>0.74638833900327106</v>
      </c>
      <c r="Q58">
        <f ca="1"/>
        <v>1</v>
      </c>
      <c r="R58">
        <f ca="1">IF(L58="","",6*AVERAGE($Q$7:Q58))</f>
        <v>3.1153846153846159</v>
      </c>
    </row>
    <row r="59" spans="1:18" x14ac:dyDescent="0.3">
      <c r="A59">
        <v>53</v>
      </c>
      <c r="B59">
        <f ca="1"/>
        <v>-0.53550010258629599</v>
      </c>
      <c r="C59">
        <f ca="1"/>
        <v>0.91800695815500211</v>
      </c>
      <c r="D59">
        <f ca="1"/>
        <v>1.1294971350909333</v>
      </c>
      <c r="E59">
        <f ca="1"/>
        <v>0</v>
      </c>
      <c r="F59">
        <f ca="1">IF(A59="","",4*AVERAGE($E$7:E59))</f>
        <v>2.7924528301886791</v>
      </c>
      <c r="L59">
        <v>53</v>
      </c>
      <c r="M59">
        <f ca="1"/>
        <v>-0.6767027926986191</v>
      </c>
      <c r="N59">
        <f ca="1"/>
        <v>0.85915055005643648</v>
      </c>
      <c r="O59">
        <f ca="1"/>
        <v>0.22917771505094731</v>
      </c>
      <c r="P59">
        <f ca="1"/>
        <v>1.2485887623843608</v>
      </c>
      <c r="Q59">
        <f ca="1"/>
        <v>0</v>
      </c>
      <c r="R59">
        <f ca="1">IF(L59="","",6*AVERAGE($Q$7:Q59))</f>
        <v>3.0566037735849054</v>
      </c>
    </row>
    <row r="60" spans="1:18" x14ac:dyDescent="0.3">
      <c r="A60">
        <v>54</v>
      </c>
      <c r="B60">
        <f ca="1"/>
        <v>0.29292717991669348</v>
      </c>
      <c r="C60">
        <f ca="1"/>
        <v>-0.14036412626083372</v>
      </c>
      <c r="D60">
        <f ca="1"/>
        <v>0.10550842067491419</v>
      </c>
      <c r="E60">
        <f ca="1"/>
        <v>1</v>
      </c>
      <c r="F60">
        <f ca="1">IF(A60="","",4*AVERAGE($E$7:E60))</f>
        <v>2.8148148148148149</v>
      </c>
      <c r="L60">
        <v>54</v>
      </c>
      <c r="M60">
        <f ca="1"/>
        <v>0.40927954201805572</v>
      </c>
      <c r="N60">
        <f ca="1"/>
        <v>0.2248503098976431</v>
      </c>
      <c r="O60">
        <f ca="1"/>
        <v>0.11623995535016651</v>
      </c>
      <c r="P60">
        <f ca="1"/>
        <v>0.23157913259538426</v>
      </c>
      <c r="Q60">
        <f ca="1"/>
        <v>1</v>
      </c>
      <c r="R60">
        <f ca="1">IF(L60="","",6*AVERAGE($Q$7:Q60))</f>
        <v>3.1111111111111107</v>
      </c>
    </row>
    <row r="61" spans="1:18" x14ac:dyDescent="0.3">
      <c r="A61">
        <v>55</v>
      </c>
      <c r="B61">
        <f ca="1"/>
        <v>-0.29146830238355537</v>
      </c>
      <c r="C61">
        <f ca="1"/>
        <v>-1.7766252739721544E-3</v>
      </c>
      <c r="D61">
        <f ca="1"/>
        <v>8.4956927691715783E-2</v>
      </c>
      <c r="E61">
        <f ca="1"/>
        <v>1</v>
      </c>
      <c r="F61">
        <f ca="1">IF(A61="","",4*AVERAGE($E$7:E61))</f>
        <v>2.8363636363636364</v>
      </c>
      <c r="L61">
        <v>55</v>
      </c>
      <c r="M61">
        <f ca="1"/>
        <v>-0.28302932716759099</v>
      </c>
      <c r="N61">
        <f ca="1"/>
        <v>-0.65284343593650673</v>
      </c>
      <c r="O61">
        <f ca="1"/>
        <v>0.62284905637519827</v>
      </c>
      <c r="P61">
        <f ca="1"/>
        <v>0.89425109890979781</v>
      </c>
      <c r="Q61">
        <f ca="1"/>
        <v>1</v>
      </c>
      <c r="R61">
        <f ca="1">IF(L61="","",6*AVERAGE($Q$7:Q61))</f>
        <v>3.1636363636363631</v>
      </c>
    </row>
    <row r="62" spans="1:18" x14ac:dyDescent="0.3">
      <c r="A62">
        <v>56</v>
      </c>
      <c r="B62">
        <f ca="1"/>
        <v>-0.984361283502313</v>
      </c>
      <c r="C62">
        <f ca="1"/>
        <v>-0.28775819908885381</v>
      </c>
      <c r="D62">
        <f ca="1"/>
        <v>1.0517719176011815</v>
      </c>
      <c r="E62">
        <f ca="1"/>
        <v>0</v>
      </c>
      <c r="F62">
        <f ca="1">IF(A62="","",4*AVERAGE($E$7:E62))</f>
        <v>2.7857142857142856</v>
      </c>
      <c r="L62">
        <v>56</v>
      </c>
      <c r="M62">
        <f ca="1"/>
        <v>-0.40229741464074098</v>
      </c>
      <c r="N62">
        <f ca="1"/>
        <v>-0.13548027764986759</v>
      </c>
      <c r="O62">
        <f ca="1"/>
        <v>0.8913783064267562</v>
      </c>
      <c r="P62">
        <f ca="1"/>
        <v>0.9747534006269416</v>
      </c>
      <c r="Q62">
        <f ca="1"/>
        <v>1</v>
      </c>
      <c r="R62">
        <f ca="1">IF(L62="","",6*AVERAGE($Q$7:Q62))</f>
        <v>3.2142857142857144</v>
      </c>
    </row>
    <row r="63" spans="1:18" x14ac:dyDescent="0.3">
      <c r="A63">
        <v>57</v>
      </c>
      <c r="B63">
        <f ca="1"/>
        <v>-0.78093279441778529</v>
      </c>
      <c r="C63">
        <f ca="1"/>
        <v>0.98426748943670495</v>
      </c>
      <c r="D63">
        <f ca="1"/>
        <v>1.5786385201592048</v>
      </c>
      <c r="E63">
        <f ca="1"/>
        <v>0</v>
      </c>
      <c r="F63">
        <f ca="1">IF(A63="","",4*AVERAGE($E$7:E63))</f>
        <v>2.736842105263158</v>
      </c>
      <c r="L63">
        <v>57</v>
      </c>
      <c r="M63">
        <f ca="1"/>
        <v>-2.1945966590124932E-2</v>
      </c>
      <c r="N63">
        <f ca="1"/>
        <v>0.49538248945650665</v>
      </c>
      <c r="O63">
        <f ca="1"/>
        <v>0.8976809870662652</v>
      </c>
      <c r="P63">
        <f ca="1"/>
        <v>1.051716590849965</v>
      </c>
      <c r="Q63">
        <f ca="1"/>
        <v>0</v>
      </c>
      <c r="R63">
        <f ca="1">IF(L63="","",6*AVERAGE($Q$7:Q63))</f>
        <v>3.1578947368421053</v>
      </c>
    </row>
    <row r="64" spans="1:18" x14ac:dyDescent="0.3">
      <c r="A64">
        <v>58</v>
      </c>
      <c r="B64">
        <f ca="1"/>
        <v>-0.35673297216924693</v>
      </c>
      <c r="C64">
        <f ca="1"/>
        <v>0.62364259515437004</v>
      </c>
      <c r="D64">
        <f ca="1"/>
        <v>0.51618849992358218</v>
      </c>
      <c r="E64">
        <f ca="1"/>
        <v>1</v>
      </c>
      <c r="F64">
        <f ca="1">IF(A64="","",4*AVERAGE($E$7:E64))</f>
        <v>2.7586206896551726</v>
      </c>
      <c r="L64">
        <v>58</v>
      </c>
      <c r="M64">
        <f ca="1"/>
        <v>-0.61130389480983571</v>
      </c>
      <c r="N64">
        <f ca="1"/>
        <v>-0.11798869438195103</v>
      </c>
      <c r="O64">
        <f ca="1"/>
        <v>0.81764419736150562</v>
      </c>
      <c r="P64">
        <f ca="1"/>
        <v>1.056155817290573</v>
      </c>
      <c r="Q64">
        <f ca="1"/>
        <v>0</v>
      </c>
      <c r="R64">
        <f ca="1">IF(L64="","",6*AVERAGE($Q$7:Q64))</f>
        <v>3.1034482758620694</v>
      </c>
    </row>
    <row r="65" spans="1:18" x14ac:dyDescent="0.3">
      <c r="A65">
        <v>59</v>
      </c>
      <c r="B65">
        <f ca="1"/>
        <v>-2.5523753960305706E-2</v>
      </c>
      <c r="C65">
        <f ca="1"/>
        <v>0.95110626700246148</v>
      </c>
      <c r="D65">
        <f ca="1"/>
        <v>0.90525459314758383</v>
      </c>
      <c r="E65">
        <f ca="1"/>
        <v>1</v>
      </c>
      <c r="F65">
        <f ca="1">IF(A65="","",4*AVERAGE($E$7:E65))</f>
        <v>2.7796610169491527</v>
      </c>
      <c r="L65">
        <v>59</v>
      </c>
      <c r="M65">
        <f ca="1"/>
        <v>-0.35141440387739942</v>
      </c>
      <c r="N65">
        <f ca="1"/>
        <v>0.8545528845163286</v>
      </c>
      <c r="O65">
        <f ca="1"/>
        <v>0.32108101060856309</v>
      </c>
      <c r="P65">
        <f ca="1"/>
        <v>0.95684573106110182</v>
      </c>
      <c r="Q65">
        <f ca="1"/>
        <v>1</v>
      </c>
      <c r="R65">
        <f ca="1">IF(L65="","",6*AVERAGE($Q$7:Q65))</f>
        <v>3.1525423728813564</v>
      </c>
    </row>
    <row r="66" spans="1:18" x14ac:dyDescent="0.3">
      <c r="A66">
        <v>60</v>
      </c>
      <c r="B66">
        <f ca="1"/>
        <v>0.35451468494666982</v>
      </c>
      <c r="C66">
        <f ca="1"/>
        <v>-0.38937723488839504</v>
      </c>
      <c r="D66">
        <f ca="1"/>
        <v>0.27729529289216892</v>
      </c>
      <c r="E66">
        <f ca="1"/>
        <v>1</v>
      </c>
      <c r="F66">
        <f ca="1">IF(A66="","",4*AVERAGE($E$7:E66))</f>
        <v>2.8</v>
      </c>
      <c r="L66">
        <v>60</v>
      </c>
      <c r="M66">
        <f ca="1"/>
        <v>-0.84016056271652784</v>
      </c>
      <c r="N66">
        <f ca="1"/>
        <v>0.37563501772094421</v>
      </c>
      <c r="O66">
        <f ca="1"/>
        <v>-2.8703971780733362E-2</v>
      </c>
      <c r="P66">
        <f ca="1"/>
        <v>0.84779535567835596</v>
      </c>
      <c r="Q66">
        <f ca="1"/>
        <v>1</v>
      </c>
      <c r="R66">
        <f ca="1">IF(L66="","",6*AVERAGE($Q$7:Q66))</f>
        <v>3.2</v>
      </c>
    </row>
    <row r="67" spans="1:18" x14ac:dyDescent="0.3">
      <c r="A67">
        <v>61</v>
      </c>
      <c r="B67">
        <f ca="1"/>
        <v>0.71824288180208518</v>
      </c>
      <c r="C67">
        <f ca="1"/>
        <v>-6.1577893426591368E-2</v>
      </c>
      <c r="D67">
        <f ca="1"/>
        <v>0.51966467421822071</v>
      </c>
      <c r="E67">
        <f ca="1"/>
        <v>1</v>
      </c>
      <c r="F67">
        <f ca="1">IF(A67="","",4*AVERAGE($E$7:E67))</f>
        <v>2.819672131147541</v>
      </c>
      <c r="L67">
        <v>61</v>
      </c>
      <c r="M67">
        <f ca="1"/>
        <v>0.58304082734039775</v>
      </c>
      <c r="N67">
        <f ca="1"/>
        <v>-0.21846506792932785</v>
      </c>
      <c r="O67">
        <f ca="1"/>
        <v>-0.55273526719161503</v>
      </c>
      <c r="P67">
        <f ca="1"/>
        <v>0.69317986784852736</v>
      </c>
      <c r="Q67">
        <f ca="1"/>
        <v>1</v>
      </c>
      <c r="R67">
        <f ca="1">IF(L67="","",6*AVERAGE($Q$7:Q67))</f>
        <v>3.2459016393442628</v>
      </c>
    </row>
    <row r="68" spans="1:18" x14ac:dyDescent="0.3">
      <c r="A68">
        <v>62</v>
      </c>
      <c r="B68">
        <f ca="1"/>
        <v>-0.93520309445033734</v>
      </c>
      <c r="C68">
        <f ca="1"/>
        <v>0.32114831300568736</v>
      </c>
      <c r="D68">
        <f ca="1"/>
        <v>0.97774106681588546</v>
      </c>
      <c r="E68">
        <f ca="1"/>
        <v>1</v>
      </c>
      <c r="F68">
        <f ca="1">IF(A68="","",4*AVERAGE($E$7:E68))</f>
        <v>2.838709677419355</v>
      </c>
      <c r="L68">
        <v>62</v>
      </c>
      <c r="M68">
        <f ca="1"/>
        <v>0.538600560386159</v>
      </c>
      <c r="N68">
        <f ca="1"/>
        <v>-0.76824243620120392</v>
      </c>
      <c r="O68">
        <f ca="1"/>
        <v>-7.0307880658096122E-2</v>
      </c>
      <c r="P68">
        <f ca="1"/>
        <v>0.88523020251127837</v>
      </c>
      <c r="Q68">
        <f ca="1"/>
        <v>1</v>
      </c>
      <c r="R68">
        <f ca="1">IF(L68="","",6*AVERAGE($Q$7:Q68))</f>
        <v>3.290322580645161</v>
      </c>
    </row>
    <row r="69" spans="1:18" x14ac:dyDescent="0.3">
      <c r="A69">
        <v>63</v>
      </c>
      <c r="B69">
        <f ca="1"/>
        <v>0.48057281735449142</v>
      </c>
      <c r="C69">
        <f ca="1"/>
        <v>-0.71057207617772544</v>
      </c>
      <c r="D69">
        <f ca="1"/>
        <v>0.7358629082235566</v>
      </c>
      <c r="E69">
        <f ca="1"/>
        <v>1</v>
      </c>
      <c r="F69">
        <f ca="1">IF(A69="","",4*AVERAGE($E$7:E69))</f>
        <v>2.8571428571428572</v>
      </c>
      <c r="L69">
        <v>63</v>
      </c>
      <c r="M69">
        <f ca="1"/>
        <v>4.1895347996528054E-2</v>
      </c>
      <c r="N69">
        <f ca="1"/>
        <v>-8.7405293879542656E-2</v>
      </c>
      <c r="O69">
        <f ca="1"/>
        <v>0.48567386909167642</v>
      </c>
      <c r="P69">
        <f ca="1"/>
        <v>0.24527401270039825</v>
      </c>
      <c r="Q69">
        <f ca="1"/>
        <v>1</v>
      </c>
      <c r="R69">
        <f ca="1">IF(L69="","",6*AVERAGE($Q$7:Q69))</f>
        <v>3.3333333333333335</v>
      </c>
    </row>
    <row r="70" spans="1:18" x14ac:dyDescent="0.3">
      <c r="A70">
        <v>64</v>
      </c>
      <c r="B70">
        <f ca="1"/>
        <v>-0.6897030276700058</v>
      </c>
      <c r="C70">
        <f ca="1"/>
        <v>-0.51684124364598572</v>
      </c>
      <c r="D70">
        <f ca="1"/>
        <v>0.74281513751070194</v>
      </c>
      <c r="E70">
        <f ca="1"/>
        <v>1</v>
      </c>
      <c r="F70">
        <f ca="1">IF(A70="","",4*AVERAGE($E$7:E70))</f>
        <v>2.875</v>
      </c>
      <c r="L70">
        <v>64</v>
      </c>
      <c r="M70">
        <f ca="1"/>
        <v>0.20779893957011786</v>
      </c>
      <c r="N70">
        <f ca="1"/>
        <v>-0.67627456940145403</v>
      </c>
      <c r="O70">
        <f ca="1"/>
        <v>-0.54466800898362022</v>
      </c>
      <c r="P70">
        <f ca="1"/>
        <v>0.79719093251576845</v>
      </c>
      <c r="Q70">
        <f ca="1"/>
        <v>1</v>
      </c>
      <c r="R70">
        <f ca="1">IF(L70="","",6*AVERAGE($Q$7:Q70))</f>
        <v>3.375</v>
      </c>
    </row>
    <row r="71" spans="1:18" x14ac:dyDescent="0.3">
      <c r="A71">
        <v>65</v>
      </c>
      <c r="B71">
        <f ca="1"/>
        <v>0.90116396996455062</v>
      </c>
      <c r="C71">
        <f ca="1"/>
        <v>0.3681123866605216</v>
      </c>
      <c r="D71">
        <f ca="1"/>
        <v>0.94760322997517488</v>
      </c>
      <c r="E71">
        <f ca="1"/>
        <v>1</v>
      </c>
      <c r="F71">
        <f ca="1">IF(A71="","",4*AVERAGE($E$7:E71))</f>
        <v>2.8923076923076922</v>
      </c>
      <c r="L71">
        <v>65</v>
      </c>
      <c r="M71">
        <f ca="1"/>
        <v>-0.38341338937649483</v>
      </c>
      <c r="N71">
        <f ca="1"/>
        <v>0.47491108752096012</v>
      </c>
      <c r="O71">
        <f ca="1"/>
        <v>0.9832728254653833</v>
      </c>
      <c r="P71">
        <f ca="1"/>
        <v>1.3393718175021907</v>
      </c>
      <c r="Q71">
        <f ca="1"/>
        <v>0</v>
      </c>
      <c r="R71">
        <f ca="1">IF(L71="","",6*AVERAGE($Q$7:Q71))</f>
        <v>3.3230769230769233</v>
      </c>
    </row>
    <row r="72" spans="1:18" x14ac:dyDescent="0.3">
      <c r="A72">
        <v>66</v>
      </c>
      <c r="B72">
        <f ca="1"/>
        <v>0.80216634405817655</v>
      </c>
      <c r="C72">
        <f ca="1"/>
        <v>0.75287946105462367</v>
      </c>
      <c r="D72">
        <f ca="1"/>
        <v>1.2102983264175615</v>
      </c>
      <c r="E72">
        <f ca="1"/>
        <v>0</v>
      </c>
      <c r="F72">
        <f ca="1">IF(A72="","",4*AVERAGE($E$7:E72))</f>
        <v>2.8484848484848486</v>
      </c>
      <c r="L72">
        <v>66</v>
      </c>
      <c r="M72">
        <f ca="1"/>
        <v>0.93083644895879081</v>
      </c>
      <c r="N72">
        <f ca="1"/>
        <v>-0.98625961370527415</v>
      </c>
      <c r="O72">
        <f ca="1"/>
        <v>0.75234797561805267</v>
      </c>
      <c r="P72">
        <f ca="1"/>
        <v>2.4051919967528699</v>
      </c>
      <c r="Q72">
        <f ca="1"/>
        <v>0</v>
      </c>
      <c r="R72">
        <f ca="1">IF(L72="","",6*AVERAGE($Q$7:Q72))</f>
        <v>3.2727272727272725</v>
      </c>
    </row>
    <row r="73" spans="1:18" x14ac:dyDescent="0.3">
      <c r="A73">
        <v>67</v>
      </c>
      <c r="B73">
        <f ca="1"/>
        <v>4.3797446866076006E-2</v>
      </c>
      <c r="C73">
        <f ca="1"/>
        <v>-0.55721204387851686</v>
      </c>
      <c r="D73">
        <f ca="1"/>
        <v>0.31240347819526093</v>
      </c>
      <c r="E73">
        <f ca="1"/>
        <v>1</v>
      </c>
      <c r="F73">
        <f ca="1">IF(A73="","",4*AVERAGE($E$7:E73))</f>
        <v>2.8656716417910446</v>
      </c>
      <c r="L73">
        <v>67</v>
      </c>
      <c r="M73">
        <f ca="1"/>
        <v>-0.98198722671314842</v>
      </c>
      <c r="N73">
        <f ca="1"/>
        <v>0.55953064793282103</v>
      </c>
      <c r="O73">
        <f ca="1"/>
        <v>-0.65439129915551941</v>
      </c>
      <c r="P73">
        <f ca="1"/>
        <v>1.7056014318143513</v>
      </c>
      <c r="Q73">
        <f ca="1"/>
        <v>0</v>
      </c>
      <c r="R73">
        <f ca="1">IF(L73="","",6*AVERAGE($Q$7:Q73))</f>
        <v>3.2238805970149254</v>
      </c>
    </row>
    <row r="74" spans="1:18" x14ac:dyDescent="0.3">
      <c r="A74">
        <v>68</v>
      </c>
      <c r="B74">
        <f ca="1"/>
        <v>-0.99440897225941383</v>
      </c>
      <c r="C74">
        <f ca="1"/>
        <v>-0.73024425957357542</v>
      </c>
      <c r="D74">
        <f ca="1"/>
        <v>1.522105882750183</v>
      </c>
      <c r="E74">
        <f ca="1"/>
        <v>0</v>
      </c>
      <c r="F74">
        <f ca="1">IF(A74="","",4*AVERAGE($E$7:E74))</f>
        <v>2.8235294117647061</v>
      </c>
      <c r="L74">
        <v>68</v>
      </c>
      <c r="M74">
        <f ca="1"/>
        <v>0.22126331050236714</v>
      </c>
      <c r="N74">
        <f ca="1"/>
        <v>-0.4384586988841388</v>
      </c>
      <c r="O74">
        <f ca="1"/>
        <v>-0.28284734238290188</v>
      </c>
      <c r="P74">
        <f ca="1"/>
        <v>0.32120610229470936</v>
      </c>
      <c r="Q74">
        <f ca="1"/>
        <v>1</v>
      </c>
      <c r="R74">
        <f ca="1">IF(L74="","",6*AVERAGE($Q$7:Q74))</f>
        <v>3.2647058823529411</v>
      </c>
    </row>
    <row r="75" spans="1:18" x14ac:dyDescent="0.3">
      <c r="A75">
        <v>69</v>
      </c>
      <c r="B75">
        <f ca="1"/>
        <v>0.43368767706933142</v>
      </c>
      <c r="C75">
        <f ca="1"/>
        <v>0.69737225605787079</v>
      </c>
      <c r="D75">
        <f ca="1"/>
        <v>0.67441306476103724</v>
      </c>
      <c r="E75">
        <f ca="1"/>
        <v>1</v>
      </c>
      <c r="F75">
        <f ca="1">IF(A75="","",4*AVERAGE($E$7:E75))</f>
        <v>2.8405797101449277</v>
      </c>
      <c r="L75">
        <v>69</v>
      </c>
      <c r="M75">
        <f ca="1"/>
        <v>-0.93560594526311536</v>
      </c>
      <c r="N75">
        <f ca="1"/>
        <v>-0.72492957391546375</v>
      </c>
      <c r="O75">
        <f ca="1"/>
        <v>0.93943012769671919</v>
      </c>
      <c r="P75">
        <f ca="1"/>
        <v>2.2834103367732177</v>
      </c>
      <c r="Q75">
        <f ca="1"/>
        <v>0</v>
      </c>
      <c r="R75">
        <f ca="1">IF(L75="","",6*AVERAGE($Q$7:Q75))</f>
        <v>3.2173913043478262</v>
      </c>
    </row>
    <row r="76" spans="1:18" x14ac:dyDescent="0.3">
      <c r="A76">
        <v>70</v>
      </c>
      <c r="B76">
        <f ca="1"/>
        <v>-0.78027418682708016</v>
      </c>
      <c r="C76">
        <f ca="1"/>
        <v>-6.0956648775287947E-2</v>
      </c>
      <c r="D76">
        <f ca="1"/>
        <v>0.61254351965857501</v>
      </c>
      <c r="E76">
        <f ca="1"/>
        <v>1</v>
      </c>
      <c r="F76">
        <f ca="1">IF(A76="","",4*AVERAGE($E$7:E76))</f>
        <v>2.8571428571428572</v>
      </c>
      <c r="L76">
        <v>70</v>
      </c>
      <c r="M76">
        <f ca="1"/>
        <v>-0.45951449474695782</v>
      </c>
      <c r="N76">
        <f ca="1"/>
        <v>0.16899479010435647</v>
      </c>
      <c r="O76">
        <f ca="1"/>
        <v>-0.33331129216302169</v>
      </c>
      <c r="P76">
        <f ca="1"/>
        <v>0.35080922744835064</v>
      </c>
      <c r="Q76">
        <f ca="1"/>
        <v>1</v>
      </c>
      <c r="R76">
        <f ca="1">IF(L76="","",6*AVERAGE($Q$7:Q76))</f>
        <v>3.2571428571428571</v>
      </c>
    </row>
    <row r="77" spans="1:18" x14ac:dyDescent="0.3">
      <c r="A77">
        <v>71</v>
      </c>
      <c r="B77">
        <f ca="1"/>
        <v>-0.60962971947191935</v>
      </c>
      <c r="C77">
        <f ca="1"/>
        <v>-0.8880335536447872</v>
      </c>
      <c r="D77">
        <f ca="1"/>
        <v>1.1602519872624002</v>
      </c>
      <c r="E77">
        <f ca="1"/>
        <v>0</v>
      </c>
      <c r="F77">
        <f ca="1">IF(A77="","",4*AVERAGE($E$7:E77))</f>
        <v>2.816901408450704</v>
      </c>
      <c r="L77">
        <v>71</v>
      </c>
      <c r="M77">
        <f ca="1"/>
        <v>0.99480497538969215</v>
      </c>
      <c r="N77">
        <f ca="1"/>
        <v>-0.34571348348426878</v>
      </c>
      <c r="O77">
        <f ca="1"/>
        <v>-0.54845396782828981</v>
      </c>
      <c r="P77">
        <f ca="1"/>
        <v>1.4099565065495083</v>
      </c>
      <c r="Q77">
        <f ca="1"/>
        <v>0</v>
      </c>
      <c r="R77">
        <f ca="1">IF(L77="","",6*AVERAGE($Q$7:Q77))</f>
        <v>3.2112676056338025</v>
      </c>
    </row>
    <row r="78" spans="1:18" x14ac:dyDescent="0.3">
      <c r="A78">
        <v>72</v>
      </c>
      <c r="B78">
        <f ca="1"/>
        <v>-0.78537941280019719</v>
      </c>
      <c r="C78">
        <f ca="1"/>
        <v>-0.29498196872406801</v>
      </c>
      <c r="D78">
        <f ca="1"/>
        <v>0.70383518392270961</v>
      </c>
      <c r="E78">
        <f ca="1"/>
        <v>1</v>
      </c>
      <c r="F78">
        <f ca="1">IF(A78="","",4*AVERAGE($E$7:E78))</f>
        <v>2.8333333333333335</v>
      </c>
      <c r="L78">
        <v>72</v>
      </c>
      <c r="M78">
        <f ca="1"/>
        <v>-0.72800193566835514</v>
      </c>
      <c r="N78">
        <f ca="1"/>
        <v>0.67211872024785069</v>
      </c>
      <c r="O78">
        <f ca="1"/>
        <v>0.94060510659528562</v>
      </c>
      <c r="P78">
        <f ca="1"/>
        <v>1.8664683589976092</v>
      </c>
      <c r="Q78">
        <f ca="1"/>
        <v>0</v>
      </c>
      <c r="R78">
        <f ca="1">IF(L78="","",6*AVERAGE($Q$7:Q78))</f>
        <v>3.166666666666667</v>
      </c>
    </row>
    <row r="79" spans="1:18" x14ac:dyDescent="0.3">
      <c r="A79">
        <v>73</v>
      </c>
      <c r="B79">
        <f ca="1"/>
        <v>0.91978603181693774</v>
      </c>
      <c r="C79">
        <f ca="1"/>
        <v>0.64576408950241126</v>
      </c>
      <c r="D79">
        <f ca="1"/>
        <v>1.2630176036164271</v>
      </c>
      <c r="E79">
        <f ca="1"/>
        <v>0</v>
      </c>
      <c r="F79">
        <f ca="1">IF(A79="","",4*AVERAGE($E$7:E79))</f>
        <v>2.7945205479452055</v>
      </c>
      <c r="L79">
        <v>73</v>
      </c>
      <c r="M79">
        <f ca="1"/>
        <v>0.36552722600646481</v>
      </c>
      <c r="N79">
        <f ca="1"/>
        <v>-0.28198340468007088</v>
      </c>
      <c r="O79">
        <f ca="1"/>
        <v>4.6220278073017429E-2</v>
      </c>
      <c r="P79">
        <f ca="1"/>
        <v>0.21526110757209288</v>
      </c>
      <c r="Q79">
        <f ca="1"/>
        <v>1</v>
      </c>
      <c r="R79">
        <f ca="1">IF(L79="","",6*AVERAGE($Q$7:Q79))</f>
        <v>3.2054794520547949</v>
      </c>
    </row>
    <row r="80" spans="1:18" x14ac:dyDescent="0.3">
      <c r="A80">
        <v>74</v>
      </c>
      <c r="B80">
        <f ca="1"/>
        <v>0.27451604106443983</v>
      </c>
      <c r="C80">
        <f ca="1"/>
        <v>-0.99918995109786013</v>
      </c>
      <c r="D80">
        <f ca="1"/>
        <v>1.0737396151766374</v>
      </c>
      <c r="E80">
        <f ca="1"/>
        <v>0</v>
      </c>
      <c r="F80">
        <f ca="1">IF(A80="","",4*AVERAGE($E$7:E80))</f>
        <v>2.7567567567567566</v>
      </c>
      <c r="L80">
        <v>74</v>
      </c>
      <c r="M80">
        <f ca="1"/>
        <v>0.57650634388410071</v>
      </c>
      <c r="N80">
        <f ca="1"/>
        <v>0.56199390921814074</v>
      </c>
      <c r="O80">
        <f ca="1"/>
        <v>0.5855321730833758</v>
      </c>
      <c r="P80">
        <f ca="1"/>
        <v>0.99104464425264127</v>
      </c>
      <c r="Q80">
        <f ca="1"/>
        <v>1</v>
      </c>
      <c r="R80">
        <f ca="1">IF(L80="","",6*AVERAGE($Q$7:Q80))</f>
        <v>3.2432432432432434</v>
      </c>
    </row>
    <row r="81" spans="1:18" x14ac:dyDescent="0.3">
      <c r="A81">
        <v>75</v>
      </c>
      <c r="B81">
        <f ca="1"/>
        <v>0.10091654639550351</v>
      </c>
      <c r="C81">
        <f ca="1"/>
        <v>-0.1844966143316642</v>
      </c>
      <c r="D81">
        <f ca="1"/>
        <v>4.4223150036242651E-2</v>
      </c>
      <c r="E81">
        <f ca="1"/>
        <v>1</v>
      </c>
      <c r="F81">
        <f ca="1">IF(A81="","",4*AVERAGE($E$7:E81))</f>
        <v>2.7733333333333334</v>
      </c>
      <c r="L81">
        <v>75</v>
      </c>
      <c r="M81">
        <f ca="1"/>
        <v>-0.12293499928246265</v>
      </c>
      <c r="N81">
        <f ca="1"/>
        <v>-0.44601723144145344</v>
      </c>
      <c r="O81">
        <f ca="1"/>
        <v>-0.83527242819558523</v>
      </c>
      <c r="P81">
        <f ca="1"/>
        <v>0.91172441409502714</v>
      </c>
      <c r="Q81">
        <f ca="1"/>
        <v>1</v>
      </c>
      <c r="R81">
        <f ca="1">IF(L81="","",6*AVERAGE($Q$7:Q81))</f>
        <v>3.28</v>
      </c>
    </row>
    <row r="82" spans="1:18" x14ac:dyDescent="0.3">
      <c r="A82">
        <v>76</v>
      </c>
      <c r="B82">
        <f ca="1"/>
        <v>-0.56396716123923607</v>
      </c>
      <c r="C82">
        <f ca="1"/>
        <v>-1.3595987919268415E-2</v>
      </c>
      <c r="D82">
        <f ca="1"/>
        <v>0.3182438098437434</v>
      </c>
      <c r="E82">
        <f ca="1"/>
        <v>1</v>
      </c>
      <c r="F82">
        <f ca="1">IF(A82="","",4*AVERAGE($E$7:E82))</f>
        <v>2.7894736842105261</v>
      </c>
      <c r="L82">
        <v>76</v>
      </c>
      <c r="M82">
        <f ca="1"/>
        <v>0.78217410385798525</v>
      </c>
      <c r="N82">
        <f ca="1"/>
        <v>-0.8138716482327879</v>
      </c>
      <c r="O82">
        <f ca="1"/>
        <v>-0.43868574174266728</v>
      </c>
      <c r="P82">
        <f ca="1"/>
        <v>1.4666285685515112</v>
      </c>
      <c r="Q82">
        <f ca="1"/>
        <v>0</v>
      </c>
      <c r="R82">
        <f ca="1">IF(L82="","",6*AVERAGE($Q$7:Q82))</f>
        <v>3.236842105263158</v>
      </c>
    </row>
    <row r="83" spans="1:18" x14ac:dyDescent="0.3">
      <c r="A83">
        <v>77</v>
      </c>
      <c r="B83">
        <f ca="1"/>
        <v>3.3586816417280785E-2</v>
      </c>
      <c r="C83">
        <f ca="1"/>
        <v>0.50296425401502276</v>
      </c>
      <c r="D83">
        <f ca="1"/>
        <v>0.25410111505393645</v>
      </c>
      <c r="E83">
        <f ca="1"/>
        <v>1</v>
      </c>
      <c r="F83">
        <f ca="1">IF(A83="","",4*AVERAGE($E$7:E83))</f>
        <v>2.8051948051948052</v>
      </c>
      <c r="L83">
        <v>77</v>
      </c>
      <c r="M83">
        <f ca="1"/>
        <v>-0.10219462797556389</v>
      </c>
      <c r="N83">
        <f ca="1"/>
        <v>-0.78401702551988506</v>
      </c>
      <c r="O83">
        <f ca="1"/>
        <v>0.70317122998171189</v>
      </c>
      <c r="P83">
        <f ca="1"/>
        <v>1.1195762169661054</v>
      </c>
      <c r="Q83">
        <f ca="1"/>
        <v>0</v>
      </c>
      <c r="R83">
        <f ca="1">IF(L83="","",6*AVERAGE($Q$7:Q83))</f>
        <v>3.1948051948051948</v>
      </c>
    </row>
    <row r="84" spans="1:18" x14ac:dyDescent="0.3">
      <c r="A84">
        <v>78</v>
      </c>
      <c r="B84">
        <f ca="1"/>
        <v>-6.2505814757654043E-3</v>
      </c>
      <c r="C84">
        <f ca="1"/>
        <v>0.9675984493862666</v>
      </c>
      <c r="D84">
        <f ca="1"/>
        <v>0.93628582902349278</v>
      </c>
      <c r="E84">
        <f ca="1"/>
        <v>1</v>
      </c>
      <c r="F84">
        <f ca="1">IF(A84="","",4*AVERAGE($E$7:E84))</f>
        <v>2.8205128205128207</v>
      </c>
      <c r="L84">
        <v>78</v>
      </c>
      <c r="M84">
        <f ca="1"/>
        <v>-0.86542883338443466</v>
      </c>
      <c r="N84">
        <f ca="1"/>
        <v>-0.84122045047928329</v>
      </c>
      <c r="O84">
        <f ca="1"/>
        <v>-0.65640471161050296</v>
      </c>
      <c r="P84">
        <f ca="1"/>
        <v>1.8874860573821794</v>
      </c>
      <c r="Q84">
        <f ca="1"/>
        <v>0</v>
      </c>
      <c r="R84">
        <f ca="1">IF(L84="","",6*AVERAGE($Q$7:Q84))</f>
        <v>3.1538461538461542</v>
      </c>
    </row>
    <row r="85" spans="1:18" x14ac:dyDescent="0.3">
      <c r="A85">
        <v>79</v>
      </c>
      <c r="B85">
        <f ca="1"/>
        <v>5.138609681070605E-3</v>
      </c>
      <c r="C85">
        <f ca="1"/>
        <v>8.910733886651534E-2</v>
      </c>
      <c r="D85">
        <f ca="1"/>
        <v>7.9665231493263877E-3</v>
      </c>
      <c r="E85">
        <f ca="1"/>
        <v>1</v>
      </c>
      <c r="F85">
        <f ca="1">IF(A85="","",4*AVERAGE($E$7:E85))</f>
        <v>2.8354430379746836</v>
      </c>
      <c r="L85">
        <v>79</v>
      </c>
      <c r="M85">
        <f ca="1"/>
        <v>0.80124709409830186</v>
      </c>
      <c r="N85">
        <f ca="1"/>
        <v>4.8066796465340289E-4</v>
      </c>
      <c r="O85">
        <f ca="1"/>
        <v>0.9975328273956976</v>
      </c>
      <c r="P85">
        <f ca="1"/>
        <v>1.6370688785747198</v>
      </c>
      <c r="Q85">
        <f ca="1"/>
        <v>0</v>
      </c>
      <c r="R85">
        <f ca="1">IF(L85="","",6*AVERAGE($Q$7:Q85))</f>
        <v>3.1139240506329111</v>
      </c>
    </row>
    <row r="86" spans="1:18" x14ac:dyDescent="0.3">
      <c r="A86">
        <v>80</v>
      </c>
      <c r="B86">
        <f ca="1"/>
        <v>-0.37369119628047209</v>
      </c>
      <c r="C86">
        <f ca="1"/>
        <v>-0.47679424028775474</v>
      </c>
      <c r="D86">
        <f ca="1"/>
        <v>0.36697785774910752</v>
      </c>
      <c r="E86">
        <f ca="1"/>
        <v>1</v>
      </c>
      <c r="F86">
        <f ca="1">IF(A86="","",4*AVERAGE($E$7:E86))</f>
        <v>2.85</v>
      </c>
      <c r="L86">
        <v>80</v>
      </c>
      <c r="M86">
        <f ca="1"/>
        <v>0.22408014745048677</v>
      </c>
      <c r="N86">
        <f ca="1"/>
        <v>-0.30577382836943978</v>
      </c>
      <c r="O86">
        <f ca="1"/>
        <v>-0.37947690579061599</v>
      </c>
      <c r="P86">
        <f ca="1"/>
        <v>0.28771226862555555</v>
      </c>
      <c r="Q86">
        <f ca="1"/>
        <v>1</v>
      </c>
      <c r="R86">
        <f ca="1">IF(L86="","",6*AVERAGE($Q$7:Q86))</f>
        <v>3.1500000000000004</v>
      </c>
    </row>
    <row r="87" spans="1:18" x14ac:dyDescent="0.3">
      <c r="A87">
        <v>81</v>
      </c>
      <c r="B87">
        <f ca="1"/>
        <v>-0.10159705263132812</v>
      </c>
      <c r="C87">
        <f ca="1"/>
        <v>-0.68670678064066948</v>
      </c>
      <c r="D87">
        <f ca="1"/>
        <v>0.48188816368124543</v>
      </c>
      <c r="E87">
        <f ca="1"/>
        <v>1</v>
      </c>
      <c r="F87">
        <f ca="1">IF(A87="","",4*AVERAGE($E$7:E87))</f>
        <v>2.8641975308641974</v>
      </c>
      <c r="L87">
        <v>81</v>
      </c>
      <c r="M87">
        <f ca="1"/>
        <v>-0.77754275851043531</v>
      </c>
      <c r="N87">
        <f ca="1"/>
        <v>-0.78427873677204696</v>
      </c>
      <c r="O87">
        <f ca="1"/>
        <v>-0.66951153417937337</v>
      </c>
      <c r="P87">
        <f ca="1"/>
        <v>1.6679115726639928</v>
      </c>
      <c r="Q87">
        <f ca="1"/>
        <v>0</v>
      </c>
      <c r="R87">
        <f ca="1">IF(L87="","",6*AVERAGE($Q$7:Q87))</f>
        <v>3.1111111111111107</v>
      </c>
    </row>
    <row r="88" spans="1:18" x14ac:dyDescent="0.3">
      <c r="A88">
        <v>82</v>
      </c>
      <c r="B88">
        <f ca="1"/>
        <v>0.53291577300725934</v>
      </c>
      <c r="C88">
        <f ca="1"/>
        <v>7.7345215368364473E-2</v>
      </c>
      <c r="D88">
        <f ca="1"/>
        <v>0.28998150346030344</v>
      </c>
      <c r="E88">
        <f ca="1"/>
        <v>1</v>
      </c>
      <c r="F88">
        <f ca="1">IF(A88="","",4*AVERAGE($E$7:E88))</f>
        <v>2.8780487804878048</v>
      </c>
      <c r="L88">
        <v>82</v>
      </c>
      <c r="M88">
        <f ca="1"/>
        <v>0.91129267952747051</v>
      </c>
      <c r="N88">
        <f ca="1"/>
        <v>-0.68988866995676323</v>
      </c>
      <c r="O88">
        <f ca="1"/>
        <v>-0.44680697158953886</v>
      </c>
      <c r="P88">
        <f ca="1"/>
        <v>1.5060371945560838</v>
      </c>
      <c r="Q88">
        <f ca="1"/>
        <v>0</v>
      </c>
      <c r="R88">
        <f ca="1">IF(L88="","",6*AVERAGE($Q$7:Q88))</f>
        <v>3.0731707317073171</v>
      </c>
    </row>
    <row r="89" spans="1:18" x14ac:dyDescent="0.3">
      <c r="A89">
        <v>83</v>
      </c>
      <c r="B89">
        <f ca="1"/>
        <v>-0.90623400662160214</v>
      </c>
      <c r="C89">
        <f ca="1"/>
        <v>-0.9588454484229112</v>
      </c>
      <c r="D89">
        <f ca="1"/>
        <v>1.7406446687187755</v>
      </c>
      <c r="E89">
        <f ca="1"/>
        <v>0</v>
      </c>
      <c r="F89">
        <f ca="1">IF(A89="","",4*AVERAGE($E$7:E89))</f>
        <v>2.8433734939759034</v>
      </c>
      <c r="L89">
        <v>83</v>
      </c>
      <c r="M89">
        <f ca="1"/>
        <v>0.17406282607197721</v>
      </c>
      <c r="N89">
        <f ca="1"/>
        <v>-0.51871737623041447</v>
      </c>
      <c r="O89">
        <f ca="1"/>
        <v>-0.16240544873118656</v>
      </c>
      <c r="P89">
        <f ca="1"/>
        <v>0.3257411136011068</v>
      </c>
      <c r="Q89">
        <f ca="1"/>
        <v>1</v>
      </c>
      <c r="R89">
        <f ca="1">IF(L89="","",6*AVERAGE($Q$7:Q89))</f>
        <v>3.1084337349397591</v>
      </c>
    </row>
    <row r="90" spans="1:18" x14ac:dyDescent="0.3">
      <c r="A90">
        <v>84</v>
      </c>
      <c r="B90">
        <f ca="1"/>
        <v>0.37524340900019348</v>
      </c>
      <c r="C90">
        <f ca="1"/>
        <v>0.94024635952139612</v>
      </c>
      <c r="D90">
        <f ca="1"/>
        <v>1.0248708325913249</v>
      </c>
      <c r="E90">
        <f ca="1"/>
        <v>0</v>
      </c>
      <c r="F90">
        <f ca="1">IF(A90="","",4*AVERAGE($E$7:E90))</f>
        <v>2.8095238095238093</v>
      </c>
      <c r="L90">
        <v>84</v>
      </c>
      <c r="M90">
        <f ca="1"/>
        <v>0.51015178281712603</v>
      </c>
      <c r="N90">
        <f ca="1"/>
        <v>-0.31236798667028465</v>
      </c>
      <c r="O90">
        <f ca="1"/>
        <v>-0.39338804345685063</v>
      </c>
      <c r="P90">
        <f ca="1"/>
        <v>0.51258275334274828</v>
      </c>
      <c r="Q90">
        <f ca="1"/>
        <v>1</v>
      </c>
      <c r="R90">
        <f ca="1">IF(L90="","",6*AVERAGE($Q$7:Q90))</f>
        <v>3.1428571428571432</v>
      </c>
    </row>
    <row r="91" spans="1:18" x14ac:dyDescent="0.3">
      <c r="A91">
        <v>85</v>
      </c>
      <c r="B91">
        <f ca="1"/>
        <v>0.37164705535772535</v>
      </c>
      <c r="C91">
        <f ca="1"/>
        <v>0.21057198075078998</v>
      </c>
      <c r="D91">
        <f ca="1"/>
        <v>0.18246209283337922</v>
      </c>
      <c r="E91">
        <f ca="1"/>
        <v>1</v>
      </c>
      <c r="F91">
        <f ca="1">IF(A91="","",4*AVERAGE($E$7:E91))</f>
        <v>2.8235294117647061</v>
      </c>
      <c r="L91">
        <v>85</v>
      </c>
      <c r="M91">
        <f ca="1"/>
        <v>0.30537895485464994</v>
      </c>
      <c r="N91">
        <f ca="1"/>
        <v>-0.12943777363937325</v>
      </c>
      <c r="O91">
        <f ca="1"/>
        <v>0.81109779357561473</v>
      </c>
      <c r="P91">
        <f ca="1"/>
        <v>0.76789007405606646</v>
      </c>
      <c r="Q91">
        <f ca="1"/>
        <v>1</v>
      </c>
      <c r="R91">
        <f ca="1">IF(L91="","",6*AVERAGE($Q$7:Q91))</f>
        <v>3.1764705882352944</v>
      </c>
    </row>
    <row r="92" spans="1:18" x14ac:dyDescent="0.3">
      <c r="A92">
        <v>86</v>
      </c>
      <c r="B92">
        <f ca="1"/>
        <v>-0.48050409267194949</v>
      </c>
      <c r="C92">
        <f ca="1"/>
        <v>-0.38485861327628945</v>
      </c>
      <c r="D92">
        <f ca="1"/>
        <v>0.37900033528744193</v>
      </c>
      <c r="E92">
        <f ca="1"/>
        <v>1</v>
      </c>
      <c r="F92">
        <f ca="1">IF(A92="","",4*AVERAGE($E$7:E92))</f>
        <v>2.8372093023255816</v>
      </c>
      <c r="L92">
        <v>86</v>
      </c>
      <c r="M92">
        <f ca="1"/>
        <v>-7.3815280286801954E-2</v>
      </c>
      <c r="N92">
        <f ca="1"/>
        <v>0.56704749209770688</v>
      </c>
      <c r="O92">
        <f ca="1"/>
        <v>0.77300233025439624</v>
      </c>
      <c r="P92">
        <f ca="1"/>
        <v>0.92452415647684472</v>
      </c>
      <c r="Q92">
        <f ca="1"/>
        <v>1</v>
      </c>
      <c r="R92">
        <f ca="1">IF(L92="","",6*AVERAGE($Q$7:Q92))</f>
        <v>3.2093023255813948</v>
      </c>
    </row>
    <row r="93" spans="1:18" x14ac:dyDescent="0.3">
      <c r="A93">
        <v>87</v>
      </c>
      <c r="B93">
        <f ca="1"/>
        <v>-0.3407165833136816</v>
      </c>
      <c r="C93">
        <f ca="1"/>
        <v>0.69671246399890618</v>
      </c>
      <c r="D93">
        <f ca="1"/>
        <v>0.6014960476363761</v>
      </c>
      <c r="E93">
        <f ca="1"/>
        <v>1</v>
      </c>
      <c r="F93">
        <f ca="1">IF(A93="","",4*AVERAGE($E$7:E93))</f>
        <v>2.8505747126436782</v>
      </c>
      <c r="L93">
        <v>87</v>
      </c>
      <c r="M93">
        <f ca="1"/>
        <v>0.22435102292069775</v>
      </c>
      <c r="N93">
        <f ca="1"/>
        <v>-0.71146509271860947</v>
      </c>
      <c r="O93">
        <f ca="1"/>
        <v>-0.14239875883033104</v>
      </c>
      <c r="P93">
        <f ca="1"/>
        <v>0.57679336615908172</v>
      </c>
      <c r="Q93">
        <f ca="1"/>
        <v>1</v>
      </c>
      <c r="R93">
        <f ca="1">IF(L93="","",6*AVERAGE($Q$7:Q93))</f>
        <v>3.2413793103448274</v>
      </c>
    </row>
    <row r="94" spans="1:18" x14ac:dyDescent="0.3">
      <c r="A94">
        <v>88</v>
      </c>
      <c r="B94">
        <f ca="1"/>
        <v>0.73587070973753699</v>
      </c>
      <c r="C94">
        <f ca="1"/>
        <v>0.83926280833321631</v>
      </c>
      <c r="D94">
        <f ca="1"/>
        <v>1.2458677629009833</v>
      </c>
      <c r="E94">
        <f ca="1"/>
        <v>0</v>
      </c>
      <c r="F94">
        <f ca="1">IF(A94="","",4*AVERAGE($E$7:E94))</f>
        <v>2.8181818181818183</v>
      </c>
      <c r="L94">
        <v>88</v>
      </c>
      <c r="M94">
        <f ca="1"/>
        <v>0.84454944968029566</v>
      </c>
      <c r="N94">
        <f ca="1"/>
        <v>-0.64529265451146811</v>
      </c>
      <c r="O94">
        <f ca="1"/>
        <v>-0.17555434911771828</v>
      </c>
      <c r="P94">
        <f ca="1"/>
        <v>1.1604857124158927</v>
      </c>
      <c r="Q94">
        <f ca="1"/>
        <v>0</v>
      </c>
      <c r="R94">
        <f ca="1">IF(L94="","",6*AVERAGE($Q$7:Q94))</f>
        <v>3.2045454545454541</v>
      </c>
    </row>
    <row r="95" spans="1:18" x14ac:dyDescent="0.3">
      <c r="A95">
        <v>89</v>
      </c>
      <c r="B95">
        <f ca="1"/>
        <v>-0.53603360342027817</v>
      </c>
      <c r="C95">
        <f ca="1"/>
        <v>0.29715155542302485</v>
      </c>
      <c r="D95">
        <f ca="1"/>
        <v>0.37563107088605108</v>
      </c>
      <c r="E95">
        <f ca="1"/>
        <v>1</v>
      </c>
      <c r="F95">
        <f ca="1">IF(A95="","",4*AVERAGE($E$7:E95))</f>
        <v>2.8314606741573032</v>
      </c>
      <c r="L95">
        <v>89</v>
      </c>
      <c r="M95">
        <f ca="1"/>
        <v>-0.90742071234548671</v>
      </c>
      <c r="N95">
        <f ca="1"/>
        <v>5.3512581596760755E-2</v>
      </c>
      <c r="O95">
        <f ca="1"/>
        <v>0.62868586093746326</v>
      </c>
      <c r="P95">
        <f ca="1"/>
        <v>1.2215218573254198</v>
      </c>
      <c r="Q95">
        <f ca="1"/>
        <v>0</v>
      </c>
      <c r="R95">
        <f ca="1">IF(L95="","",6*AVERAGE($Q$7:Q95))</f>
        <v>3.1685393258426964</v>
      </c>
    </row>
    <row r="96" spans="1:18" x14ac:dyDescent="0.3">
      <c r="A96">
        <v>90</v>
      </c>
      <c r="B96">
        <f ca="1"/>
        <v>-0.53252811097670394</v>
      </c>
      <c r="C96">
        <f ca="1"/>
        <v>0.86782089721589251</v>
      </c>
      <c r="D96">
        <f ca="1"/>
        <v>1.0366992986250134</v>
      </c>
      <c r="E96">
        <f ca="1"/>
        <v>0</v>
      </c>
      <c r="F96">
        <f ca="1">IF(A96="","",4*AVERAGE($E$7:E96))</f>
        <v>2.8</v>
      </c>
      <c r="L96">
        <v>90</v>
      </c>
      <c r="M96">
        <f ca="1"/>
        <v>0.20852911912060224</v>
      </c>
      <c r="N96">
        <f ca="1"/>
        <v>-0.67801999481888364</v>
      </c>
      <c r="O96">
        <f ca="1"/>
        <v>1.3169460033464864E-2</v>
      </c>
      <c r="P96">
        <f ca="1"/>
        <v>0.50336894157298639</v>
      </c>
      <c r="Q96">
        <f ca="1"/>
        <v>1</v>
      </c>
      <c r="R96">
        <f ca="1">IF(L96="","",6*AVERAGE($Q$7:Q96))</f>
        <v>3.2</v>
      </c>
    </row>
    <row r="97" spans="1:18" x14ac:dyDescent="0.3">
      <c r="A97">
        <v>91</v>
      </c>
      <c r="B97">
        <f ca="1"/>
        <v>0.64341923079933871</v>
      </c>
      <c r="C97">
        <f ca="1"/>
        <v>-0.96297650917094746</v>
      </c>
      <c r="D97">
        <f ca="1"/>
        <v>1.3413120637774765</v>
      </c>
      <c r="E97">
        <f ca="1"/>
        <v>0</v>
      </c>
      <c r="F97">
        <f ca="1">IF(A97="","",4*AVERAGE($E$7:E97))</f>
        <v>2.7692307692307692</v>
      </c>
      <c r="L97">
        <v>91</v>
      </c>
      <c r="M97">
        <f ca="1"/>
        <v>-0.36293600417318306</v>
      </c>
      <c r="N97">
        <f ca="1"/>
        <v>0.10612325234248843</v>
      </c>
      <c r="O97">
        <f ca="1"/>
        <v>4.7292561757115825E-2</v>
      </c>
      <c r="P97">
        <f ca="1"/>
        <v>0.14522127421049483</v>
      </c>
      <c r="Q97">
        <f ca="1"/>
        <v>1</v>
      </c>
      <c r="R97">
        <f ca="1">IF(L97="","",6*AVERAGE($Q$7:Q97))</f>
        <v>3.2307692307692308</v>
      </c>
    </row>
    <row r="98" spans="1:18" x14ac:dyDescent="0.3">
      <c r="A98">
        <v>92</v>
      </c>
      <c r="B98">
        <f ca="1"/>
        <v>-0.47749502613902273</v>
      </c>
      <c r="C98">
        <f ca="1"/>
        <v>-0.69485331335784006</v>
      </c>
      <c r="D98">
        <f ca="1"/>
        <v>0.71082262707187471</v>
      </c>
      <c r="E98">
        <f ca="1"/>
        <v>1</v>
      </c>
      <c r="F98">
        <f ca="1">IF(A98="","",4*AVERAGE($E$7:E98))</f>
        <v>2.7826086956521738</v>
      </c>
      <c r="L98">
        <v>92</v>
      </c>
      <c r="M98">
        <f ca="1"/>
        <v>0.62221299945196962</v>
      </c>
      <c r="N98">
        <f ca="1"/>
        <v>-0.12779976942164284</v>
      </c>
      <c r="O98">
        <f ca="1"/>
        <v>-0.89740519330288016</v>
      </c>
      <c r="P98">
        <f ca="1"/>
        <v>1.2088178787182216</v>
      </c>
      <c r="Q98">
        <f ca="1"/>
        <v>0</v>
      </c>
      <c r="R98">
        <f ca="1">IF(L98="","",6*AVERAGE($Q$7:Q98))</f>
        <v>3.1956521739130439</v>
      </c>
    </row>
    <row r="99" spans="1:18" x14ac:dyDescent="0.3">
      <c r="A99">
        <v>93</v>
      </c>
      <c r="B99">
        <f ca="1"/>
        <v>0.25396888556480657</v>
      </c>
      <c r="C99">
        <f ca="1"/>
        <v>0.30363538185752015</v>
      </c>
      <c r="D99">
        <f ca="1"/>
        <v>0.15669463995079191</v>
      </c>
      <c r="E99">
        <f ca="1"/>
        <v>1</v>
      </c>
      <c r="F99">
        <f ca="1">IF(A99="","",4*AVERAGE($E$7:E99))</f>
        <v>2.795698924731183</v>
      </c>
      <c r="L99">
        <v>93</v>
      </c>
      <c r="M99">
        <f ca="1"/>
        <v>-1.3572812383506383E-2</v>
      </c>
      <c r="N99">
        <f ca="1"/>
        <v>-0.13140788889905375</v>
      </c>
      <c r="O99">
        <f ca="1"/>
        <v>-0.55841806420988238</v>
      </c>
      <c r="P99">
        <f ca="1"/>
        <v>0.32928298893681623</v>
      </c>
      <c r="Q99">
        <f ca="1"/>
        <v>1</v>
      </c>
      <c r="R99">
        <f ca="1">IF(L99="","",6*AVERAGE($Q$7:Q99))</f>
        <v>3.225806451612903</v>
      </c>
    </row>
    <row r="100" spans="1:18" x14ac:dyDescent="0.3">
      <c r="A100">
        <v>94</v>
      </c>
      <c r="B100">
        <f ca="1"/>
        <v>0.48330672350604309</v>
      </c>
      <c r="C100">
        <f ca="1"/>
        <v>-0.31467468528426701</v>
      </c>
      <c r="D100">
        <f ca="1"/>
        <v>0.33260554654489927</v>
      </c>
      <c r="E100">
        <f ca="1"/>
        <v>1</v>
      </c>
      <c r="F100">
        <f ca="1">IF(A100="","",4*AVERAGE($E$7:E100))</f>
        <v>2.8085106382978724</v>
      </c>
      <c r="L100">
        <v>94</v>
      </c>
      <c r="M100">
        <f ca="1"/>
        <v>-0.99649735176848542</v>
      </c>
      <c r="N100">
        <f ca="1"/>
        <v>0.20668938432003969</v>
      </c>
      <c r="O100">
        <f ca="1"/>
        <v>0.48752539785254645</v>
      </c>
      <c r="P100">
        <f ca="1"/>
        <v>1.2734084872234854</v>
      </c>
      <c r="Q100">
        <f ca="1"/>
        <v>0</v>
      </c>
      <c r="R100">
        <f ca="1">IF(L100="","",6*AVERAGE($Q$7:Q100))</f>
        <v>3.1914893617021276</v>
      </c>
    </row>
    <row r="101" spans="1:18" x14ac:dyDescent="0.3">
      <c r="A101">
        <v>95</v>
      </c>
      <c r="B101">
        <f ca="1"/>
        <v>0.92235075074021022</v>
      </c>
      <c r="C101">
        <f ca="1"/>
        <v>0.2198894793157522</v>
      </c>
      <c r="D101">
        <f ca="1"/>
        <v>0.89908229050478206</v>
      </c>
      <c r="E101">
        <f ca="1"/>
        <v>1</v>
      </c>
      <c r="F101">
        <f ca="1">IF(A101="","",4*AVERAGE($E$7:E101))</f>
        <v>2.8210526315789473</v>
      </c>
      <c r="L101">
        <v>95</v>
      </c>
      <c r="M101">
        <f ca="1"/>
        <v>-0.12303955138731482</v>
      </c>
      <c r="N101">
        <f ca="1"/>
        <v>-0.72274259513064942</v>
      </c>
      <c r="O101">
        <f ca="1"/>
        <v>0.37531735195000615</v>
      </c>
      <c r="P101">
        <f ca="1"/>
        <v>0.67835870469654236</v>
      </c>
      <c r="Q101">
        <f ca="1"/>
        <v>1</v>
      </c>
      <c r="R101">
        <f ca="1">IF(L101="","",6*AVERAGE($Q$7:Q101))</f>
        <v>3.2210526315789476</v>
      </c>
    </row>
    <row r="102" spans="1:18" x14ac:dyDescent="0.3">
      <c r="A102">
        <v>96</v>
      </c>
      <c r="B102">
        <f ca="1"/>
        <v>0.83491947820292411</v>
      </c>
      <c r="C102">
        <f ca="1"/>
        <v>-0.67089478672784253</v>
      </c>
      <c r="D102">
        <f ca="1"/>
        <v>1.1471903499412404</v>
      </c>
      <c r="E102">
        <f ca="1"/>
        <v>0</v>
      </c>
      <c r="F102">
        <f ca="1">IF(A102="","",4*AVERAGE($E$7:E102))</f>
        <v>2.7916666666666665</v>
      </c>
      <c r="L102">
        <v>96</v>
      </c>
      <c r="M102">
        <f ca="1"/>
        <v>0.97611080415717044</v>
      </c>
      <c r="N102">
        <f ca="1"/>
        <v>-0.13959076906658363</v>
      </c>
      <c r="O102">
        <f ca="1"/>
        <v>-0.81901525436595901</v>
      </c>
      <c r="P102">
        <f ca="1"/>
        <v>1.6430638716850947</v>
      </c>
      <c r="Q102">
        <f ca="1"/>
        <v>0</v>
      </c>
      <c r="R102">
        <f ca="1">IF(L102="","",6*AVERAGE($Q$7:Q102))</f>
        <v>3.1875</v>
      </c>
    </row>
    <row r="103" spans="1:18" x14ac:dyDescent="0.3">
      <c r="A103">
        <v>97</v>
      </c>
      <c r="B103">
        <f ca="1"/>
        <v>0.51643973068220839</v>
      </c>
      <c r="C103">
        <f ca="1"/>
        <v>0.31248917683219779</v>
      </c>
      <c r="D103">
        <f ca="1"/>
        <v>0.36435948106437654</v>
      </c>
      <c r="E103">
        <f ca="1"/>
        <v>1</v>
      </c>
      <c r="F103">
        <f ca="1">IF(A103="","",4*AVERAGE($E$7:E103))</f>
        <v>2.804123711340206</v>
      </c>
      <c r="L103">
        <v>97</v>
      </c>
      <c r="M103">
        <f ca="1"/>
        <v>0.79318352179149576</v>
      </c>
      <c r="N103">
        <f ca="1"/>
        <v>0.20607294431254508</v>
      </c>
      <c r="O103">
        <f ca="1"/>
        <v>0.71865590621610487</v>
      </c>
      <c r="P103">
        <f ca="1"/>
        <v>1.1880724691584925</v>
      </c>
      <c r="Q103">
        <f ca="1"/>
        <v>0</v>
      </c>
      <c r="R103">
        <f ca="1">IF(L103="","",6*AVERAGE($Q$7:Q103))</f>
        <v>3.1546391752577323</v>
      </c>
    </row>
    <row r="104" spans="1:18" x14ac:dyDescent="0.3">
      <c r="A104">
        <v>98</v>
      </c>
      <c r="B104">
        <f ca="1"/>
        <v>-0.33246429265399891</v>
      </c>
      <c r="C104">
        <f ca="1"/>
        <v>1.7571798517745041E-2</v>
      </c>
      <c r="D104">
        <f ca="1"/>
        <v>0.11084127399307206</v>
      </c>
      <c r="E104">
        <f ca="1"/>
        <v>1</v>
      </c>
      <c r="F104">
        <f ca="1">IF(A104="","",4*AVERAGE($E$7:E104))</f>
        <v>2.8163265306122449</v>
      </c>
      <c r="L104">
        <v>98</v>
      </c>
      <c r="M104">
        <f ca="1"/>
        <v>-0.78776027849301511</v>
      </c>
      <c r="N104">
        <f ca="1"/>
        <v>-0.12326293332308413</v>
      </c>
      <c r="O104">
        <f ca="1"/>
        <v>-0.11429147785351956</v>
      </c>
      <c r="P104">
        <f ca="1"/>
        <v>0.64882254901274539</v>
      </c>
      <c r="Q104">
        <f ca="1"/>
        <v>1</v>
      </c>
      <c r="R104">
        <f ca="1">IF(L104="","",6*AVERAGE($Q$7:Q104))</f>
        <v>3.1836734693877551</v>
      </c>
    </row>
    <row r="105" spans="1:18" x14ac:dyDescent="0.3">
      <c r="A105">
        <v>99</v>
      </c>
      <c r="B105">
        <f ca="1"/>
        <v>0.57505033026935215</v>
      </c>
      <c r="C105">
        <f ca="1"/>
        <v>0.34941358381593512</v>
      </c>
      <c r="D105">
        <f ca="1"/>
        <v>0.45277273489798653</v>
      </c>
      <c r="E105">
        <f ca="1"/>
        <v>1</v>
      </c>
      <c r="F105">
        <f ca="1">IF(A105="","",4*AVERAGE($E$7:E105))</f>
        <v>2.8282828282828283</v>
      </c>
      <c r="L105">
        <v>99</v>
      </c>
      <c r="M105">
        <f ca="1"/>
        <v>0.10274140023458078</v>
      </c>
      <c r="N105">
        <f ca="1"/>
        <v>0.63384067020021617</v>
      </c>
      <c r="O105">
        <f ca="1"/>
        <v>-0.64221560524079346</v>
      </c>
      <c r="P105">
        <f ca="1"/>
        <v>0.82475067413682024</v>
      </c>
      <c r="Q105">
        <f ca="1"/>
        <v>1</v>
      </c>
      <c r="R105">
        <f ca="1">IF(L105="","",6*AVERAGE($Q$7:Q105))</f>
        <v>3.2121212121212119</v>
      </c>
    </row>
    <row r="106" spans="1:18" x14ac:dyDescent="0.3">
      <c r="A106">
        <v>100</v>
      </c>
      <c r="B106">
        <f ca="1"/>
        <v>-0.13557135444822621</v>
      </c>
      <c r="C106">
        <f ca="1"/>
        <v>-0.47450792363552852</v>
      </c>
      <c r="D106">
        <f ca="1"/>
        <v>0.24353736173982715</v>
      </c>
      <c r="E106">
        <f ca="1"/>
        <v>1</v>
      </c>
      <c r="F106">
        <f ca="1">IF(A106="","",4*AVERAGE($E$7:E106))</f>
        <v>2.84</v>
      </c>
      <c r="L106">
        <v>100</v>
      </c>
      <c r="M106">
        <f ca="1"/>
        <v>-0.14040162076321838</v>
      </c>
      <c r="N106">
        <f ca="1"/>
        <v>0.83937747728080137</v>
      </c>
      <c r="O106">
        <f ca="1"/>
        <v>-0.75308351201410373</v>
      </c>
      <c r="P106">
        <f ca="1"/>
        <v>1.2914019405467176</v>
      </c>
      <c r="Q106">
        <f ca="1"/>
        <v>0</v>
      </c>
      <c r="R106">
        <f ca="1">IF(L106="","",6*AVERAGE($Q$7:Q106))</f>
        <v>3.18</v>
      </c>
    </row>
    <row r="107" spans="1:18" x14ac:dyDescent="0.3">
      <c r="F107" t="str">
        <f>IF(A107="","",4*AVERAGE($E$7:E107))</f>
        <v/>
      </c>
      <c r="R107" t="str">
        <f>IF(L107="","",6*AVERAGE($Q$7:Q107))</f>
        <v/>
      </c>
    </row>
    <row r="108" spans="1:18" x14ac:dyDescent="0.3">
      <c r="F108" t="str">
        <f>IF(A108="","",4*AVERAGE($E$7:E108))</f>
        <v/>
      </c>
      <c r="R108" t="str">
        <f>IF(L108="","",6*AVERAGE($Q$7:Q108))</f>
        <v/>
      </c>
    </row>
    <row r="109" spans="1:18" x14ac:dyDescent="0.3">
      <c r="F109" t="str">
        <f>IF(A109="","",4*AVERAGE($E$7:E109))</f>
        <v/>
      </c>
      <c r="R109" t="str">
        <f>IF(L109="","",6*AVERAGE($Q$7:Q109))</f>
        <v/>
      </c>
    </row>
    <row r="110" spans="1:18" x14ac:dyDescent="0.3">
      <c r="F110" t="str">
        <f>IF(A110="","",4*AVERAGE($E$7:E110))</f>
        <v/>
      </c>
      <c r="R110" t="str">
        <f>IF(L110="","",6*AVERAGE($Q$7:Q110))</f>
        <v/>
      </c>
    </row>
    <row r="111" spans="1:18" x14ac:dyDescent="0.3">
      <c r="F111" t="str">
        <f>IF(A111="","",4*AVERAGE($E$7:E111))</f>
        <v/>
      </c>
      <c r="R111" t="str">
        <f>IF(L111="","",6*AVERAGE($Q$7:Q111))</f>
        <v/>
      </c>
    </row>
    <row r="112" spans="1:18" x14ac:dyDescent="0.3">
      <c r="F112" t="str">
        <f>IF(A112="","",4*AVERAGE($E$7:E112))</f>
        <v/>
      </c>
      <c r="R112" t="str">
        <f>IF(L112="","",6*AVERAGE($Q$7:Q112))</f>
        <v/>
      </c>
    </row>
    <row r="113" spans="6:18" x14ac:dyDescent="0.3">
      <c r="F113" t="str">
        <f>IF(A113="","",4*AVERAGE($E$7:E113))</f>
        <v/>
      </c>
      <c r="R113" t="str">
        <f>IF(L113="","",6*AVERAGE($Q$7:Q113))</f>
        <v/>
      </c>
    </row>
    <row r="114" spans="6:18" x14ac:dyDescent="0.3">
      <c r="F114" t="str">
        <f>IF(A114="","",4*AVERAGE($E$7:E114))</f>
        <v/>
      </c>
      <c r="R114" t="str">
        <f>IF(L114="","",6*AVERAGE($Q$7:Q114))</f>
        <v/>
      </c>
    </row>
    <row r="115" spans="6:18" x14ac:dyDescent="0.3">
      <c r="F115" t="str">
        <f>IF(A115="","",4*AVERAGE($E$7:E115))</f>
        <v/>
      </c>
      <c r="R115" t="str">
        <f>IF(L115="","",6*AVERAGE($Q$7:Q115))</f>
        <v/>
      </c>
    </row>
    <row r="116" spans="6:18" ht="15.6" customHeight="1" x14ac:dyDescent="0.3">
      <c r="F116" t="str">
        <f>IF(A116="","",4*AVERAGE($E$7:E116))</f>
        <v/>
      </c>
      <c r="R116" t="str">
        <f>IF(L116="","",6*AVERAGE($Q$7:Q116))</f>
        <v/>
      </c>
    </row>
    <row r="117" spans="6:18" ht="15.6" customHeight="1" x14ac:dyDescent="0.3">
      <c r="F117" t="str">
        <f>IF(A117="","",4*AVERAGE($E$7:E117))</f>
        <v/>
      </c>
      <c r="R117" t="str">
        <f>IF(L117="","",6*AVERAGE($Q$7:Q117))</f>
        <v/>
      </c>
    </row>
    <row r="118" spans="6:18" ht="15.6" customHeight="1" x14ac:dyDescent="0.3">
      <c r="F118" t="str">
        <f>IF(A118="","",4*AVERAGE($E$7:E118))</f>
        <v/>
      </c>
      <c r="R118" t="str">
        <f>IF(L118="","",6*AVERAGE($Q$7:Q118))</f>
        <v/>
      </c>
    </row>
    <row r="119" spans="6:18" x14ac:dyDescent="0.3">
      <c r="F119" t="str">
        <f>IF(A119="","",4*AVERAGE($E$7:E119))</f>
        <v/>
      </c>
      <c r="R119" t="str">
        <f>IF(L119="","",6*AVERAGE($Q$7:Q119))</f>
        <v/>
      </c>
    </row>
    <row r="120" spans="6:18" x14ac:dyDescent="0.3">
      <c r="F120" t="str">
        <f>IF(A120="","",4*AVERAGE($E$7:E120))</f>
        <v/>
      </c>
      <c r="R120" t="str">
        <f>IF(L120="","",6*AVERAGE($Q$7:Q120))</f>
        <v/>
      </c>
    </row>
    <row r="121" spans="6:18" x14ac:dyDescent="0.3">
      <c r="F121" t="str">
        <f>IF(A121="","",4*AVERAGE($E$7:E121))</f>
        <v/>
      </c>
      <c r="R121" t="str">
        <f>IF(L121="","",6*AVERAGE($Q$7:Q121))</f>
        <v/>
      </c>
    </row>
    <row r="122" spans="6:18" x14ac:dyDescent="0.3">
      <c r="F122" t="str">
        <f>IF(A122="","",4*AVERAGE($E$7:E122))</f>
        <v/>
      </c>
      <c r="R122" t="str">
        <f>IF(L122="","",6*AVERAGE($Q$7:Q122))</f>
        <v/>
      </c>
    </row>
    <row r="123" spans="6:18" x14ac:dyDescent="0.3">
      <c r="F123" t="str">
        <f>IF(A123="","",4*AVERAGE($E$7:E123))</f>
        <v/>
      </c>
      <c r="R123" t="str">
        <f>IF(L123="","",6*AVERAGE($Q$7:Q123))</f>
        <v/>
      </c>
    </row>
    <row r="124" spans="6:18" x14ac:dyDescent="0.3">
      <c r="F124" t="str">
        <f>IF(A124="","",4*AVERAGE($E$7:E124))</f>
        <v/>
      </c>
      <c r="R124" t="str">
        <f>IF(L124="","",6*AVERAGE($Q$7:Q124))</f>
        <v/>
      </c>
    </row>
    <row r="125" spans="6:18" x14ac:dyDescent="0.3">
      <c r="F125" t="str">
        <f>IF(A125="","",4*AVERAGE($E$7:E125))</f>
        <v/>
      </c>
      <c r="R125" t="str">
        <f>IF(L125="","",6*AVERAGE($Q$7:Q125))</f>
        <v/>
      </c>
    </row>
    <row r="126" spans="6:18" x14ac:dyDescent="0.3">
      <c r="F126" t="str">
        <f>IF(A126="","",4*AVERAGE($E$7:E126))</f>
        <v/>
      </c>
      <c r="R126" t="str">
        <f>IF(L126="","",6*AVERAGE($Q$7:Q126))</f>
        <v/>
      </c>
    </row>
    <row r="127" spans="6:18" x14ac:dyDescent="0.3">
      <c r="F127" t="str">
        <f>IF(A127="","",4*AVERAGE($E$7:E127))</f>
        <v/>
      </c>
      <c r="R127" t="str">
        <f>IF(L127="","",6*AVERAGE($Q$7:Q127))</f>
        <v/>
      </c>
    </row>
    <row r="128" spans="6:18" x14ac:dyDescent="0.3">
      <c r="F128" t="str">
        <f>IF(A128="","",4*AVERAGE($E$7:E128))</f>
        <v/>
      </c>
      <c r="R128" t="str">
        <f>IF(L128="","",6*AVERAGE($Q$7:Q128))</f>
        <v/>
      </c>
    </row>
    <row r="129" spans="6:18" x14ac:dyDescent="0.3">
      <c r="F129" t="str">
        <f>IF(A129="","",4*AVERAGE($E$7:E129))</f>
        <v/>
      </c>
      <c r="R129" t="str">
        <f>IF(L129="","",6*AVERAGE($Q$7:Q129))</f>
        <v/>
      </c>
    </row>
    <row r="130" spans="6:18" x14ac:dyDescent="0.3">
      <c r="F130" t="str">
        <f>IF(A130="","",4*AVERAGE($E$7:E130))</f>
        <v/>
      </c>
      <c r="R130" t="str">
        <f>IF(L130="","",6*AVERAGE($Q$7:Q130))</f>
        <v/>
      </c>
    </row>
    <row r="131" spans="6:18" x14ac:dyDescent="0.3">
      <c r="F131" t="str">
        <f>IF(A131="","",4*AVERAGE($E$7:E131))</f>
        <v/>
      </c>
      <c r="R131" t="str">
        <f>IF(L131="","",6*AVERAGE($Q$7:Q131))</f>
        <v/>
      </c>
    </row>
    <row r="132" spans="6:18" x14ac:dyDescent="0.3">
      <c r="F132" t="str">
        <f>IF(A132="","",4*AVERAGE($E$7:E132))</f>
        <v/>
      </c>
      <c r="R132" t="str">
        <f>IF(L132="","",6*AVERAGE($Q$7:Q132))</f>
        <v/>
      </c>
    </row>
    <row r="133" spans="6:18" x14ac:dyDescent="0.3">
      <c r="F133" t="str">
        <f>IF(A133="","",4*AVERAGE($E$7:E133))</f>
        <v/>
      </c>
      <c r="R133" t="str">
        <f>IF(L133="","",6*AVERAGE($Q$7:Q133))</f>
        <v/>
      </c>
    </row>
    <row r="134" spans="6:18" x14ac:dyDescent="0.3">
      <c r="F134" t="str">
        <f>IF(A134="","",4*AVERAGE($E$7:E134))</f>
        <v/>
      </c>
      <c r="R134" t="str">
        <f>IF(L134="","",6*AVERAGE($Q$7:Q134))</f>
        <v/>
      </c>
    </row>
    <row r="135" spans="6:18" x14ac:dyDescent="0.3">
      <c r="F135" t="str">
        <f>IF(A135="","",4*AVERAGE($E$7:E135))</f>
        <v/>
      </c>
      <c r="R135" t="str">
        <f>IF(L135="","",6*AVERAGE($Q$7:Q135))</f>
        <v/>
      </c>
    </row>
    <row r="136" spans="6:18" x14ac:dyDescent="0.3">
      <c r="F136" t="str">
        <f>IF(A136="","",4*AVERAGE($E$7:E136))</f>
        <v/>
      </c>
      <c r="R136" t="str">
        <f>IF(L136="","",6*AVERAGE($Q$7:Q136))</f>
        <v/>
      </c>
    </row>
    <row r="137" spans="6:18" x14ac:dyDescent="0.3">
      <c r="F137" t="str">
        <f>IF(A137="","",4*AVERAGE($E$7:E137))</f>
        <v/>
      </c>
      <c r="R137" t="str">
        <f>IF(L137="","",6*AVERAGE($Q$7:Q137))</f>
        <v/>
      </c>
    </row>
    <row r="138" spans="6:18" x14ac:dyDescent="0.3">
      <c r="F138" t="str">
        <f>IF(A138="","",4*AVERAGE($E$7:E138))</f>
        <v/>
      </c>
      <c r="R138" t="str">
        <f>IF(L138="","",6*AVERAGE($Q$7:Q138))</f>
        <v/>
      </c>
    </row>
    <row r="139" spans="6:18" x14ac:dyDescent="0.3">
      <c r="F139" t="str">
        <f>IF(A139="","",4*AVERAGE($E$7:E139))</f>
        <v/>
      </c>
      <c r="R139" t="str">
        <f>IF(L139="","",6*AVERAGE($Q$7:Q139))</f>
        <v/>
      </c>
    </row>
    <row r="140" spans="6:18" x14ac:dyDescent="0.3">
      <c r="F140" t="str">
        <f>IF(A140="","",4*AVERAGE($E$7:E140))</f>
        <v/>
      </c>
      <c r="R140" t="str">
        <f>IF(L140="","",6*AVERAGE($Q$7:Q140))</f>
        <v/>
      </c>
    </row>
    <row r="141" spans="6:18" x14ac:dyDescent="0.3">
      <c r="F141" t="str">
        <f>IF(A141="","",4*AVERAGE($E$7:E141))</f>
        <v/>
      </c>
      <c r="R141" t="str">
        <f>IF(L141="","",6*AVERAGE($Q$7:Q141))</f>
        <v/>
      </c>
    </row>
    <row r="142" spans="6:18" x14ac:dyDescent="0.3">
      <c r="F142" t="str">
        <f>IF(A142="","",4*AVERAGE($E$7:E142))</f>
        <v/>
      </c>
      <c r="R142" t="str">
        <f>IF(L142="","",6*AVERAGE($Q$7:Q142))</f>
        <v/>
      </c>
    </row>
    <row r="143" spans="6:18" x14ac:dyDescent="0.3">
      <c r="F143" t="str">
        <f>IF(A143="","",4*AVERAGE($E$7:E143))</f>
        <v/>
      </c>
      <c r="R143" t="str">
        <f>IF(L143="","",6*AVERAGE($Q$7:Q143))</f>
        <v/>
      </c>
    </row>
    <row r="144" spans="6:18" x14ac:dyDescent="0.3">
      <c r="F144" t="str">
        <f>IF(A144="","",4*AVERAGE($E$7:E144))</f>
        <v/>
      </c>
      <c r="R144" t="str">
        <f>IF(L144="","",6*AVERAGE($Q$7:Q144))</f>
        <v/>
      </c>
    </row>
    <row r="145" spans="6:18" x14ac:dyDescent="0.3">
      <c r="F145" t="str">
        <f>IF(A145="","",4*AVERAGE($E$7:E145))</f>
        <v/>
      </c>
      <c r="R145" t="str">
        <f>IF(L145="","",6*AVERAGE($Q$7:Q145))</f>
        <v/>
      </c>
    </row>
    <row r="146" spans="6:18" x14ac:dyDescent="0.3">
      <c r="F146" t="str">
        <f>IF(A146="","",4*AVERAGE($E$7:E146))</f>
        <v/>
      </c>
      <c r="R146" t="str">
        <f>IF(L146="","",6*AVERAGE($Q$7:Q146))</f>
        <v/>
      </c>
    </row>
    <row r="147" spans="6:18" x14ac:dyDescent="0.3">
      <c r="F147" t="str">
        <f>IF(A147="","",4*AVERAGE($E$7:E147))</f>
        <v/>
      </c>
      <c r="R147" t="str">
        <f>IF(L147="","",6*AVERAGE($Q$7:Q147))</f>
        <v/>
      </c>
    </row>
    <row r="148" spans="6:18" x14ac:dyDescent="0.3">
      <c r="F148" t="str">
        <f>IF(A148="","",4*AVERAGE($E$7:E148))</f>
        <v/>
      </c>
      <c r="R148" t="str">
        <f>IF(L148="","",6*AVERAGE($Q$7:Q148))</f>
        <v/>
      </c>
    </row>
    <row r="149" spans="6:18" x14ac:dyDescent="0.3">
      <c r="F149" t="str">
        <f>IF(A149="","",4*AVERAGE($E$7:E149))</f>
        <v/>
      </c>
      <c r="R149" t="str">
        <f>IF(L149="","",6*AVERAGE($Q$7:Q149))</f>
        <v/>
      </c>
    </row>
    <row r="150" spans="6:18" x14ac:dyDescent="0.3">
      <c r="F150" t="str">
        <f>IF(A150="","",4*AVERAGE($E$7:E150))</f>
        <v/>
      </c>
      <c r="R150" t="str">
        <f>IF(L150="","",6*AVERAGE($Q$7:Q150))</f>
        <v/>
      </c>
    </row>
    <row r="151" spans="6:18" x14ac:dyDescent="0.3">
      <c r="F151" t="str">
        <f>IF(A151="","",4*AVERAGE($E$7:E151))</f>
        <v/>
      </c>
      <c r="R151" t="str">
        <f>IF(L151="","",6*AVERAGE($Q$7:Q151))</f>
        <v/>
      </c>
    </row>
    <row r="152" spans="6:18" x14ac:dyDescent="0.3">
      <c r="F152" t="str">
        <f>IF(A152="","",4*AVERAGE($E$7:E152))</f>
        <v/>
      </c>
      <c r="R152" t="str">
        <f>IF(L152="","",6*AVERAGE($Q$7:Q152))</f>
        <v/>
      </c>
    </row>
    <row r="153" spans="6:18" x14ac:dyDescent="0.3">
      <c r="F153" t="str">
        <f>IF(A153="","",4*AVERAGE($E$7:E153))</f>
        <v/>
      </c>
      <c r="R153" t="str">
        <f>IF(L153="","",6*AVERAGE($Q$7:Q153))</f>
        <v/>
      </c>
    </row>
    <row r="154" spans="6:18" x14ac:dyDescent="0.3">
      <c r="F154" t="str">
        <f>IF(A154="","",4*AVERAGE($E$7:E154))</f>
        <v/>
      </c>
      <c r="R154" t="str">
        <f>IF(L154="","",6*AVERAGE($Q$7:Q154))</f>
        <v/>
      </c>
    </row>
    <row r="155" spans="6:18" x14ac:dyDescent="0.3">
      <c r="F155" t="str">
        <f>IF(A155="","",4*AVERAGE($E$7:E155))</f>
        <v/>
      </c>
      <c r="R155" t="str">
        <f>IF(L155="","",6*AVERAGE($Q$7:Q155))</f>
        <v/>
      </c>
    </row>
    <row r="156" spans="6:18" x14ac:dyDescent="0.3">
      <c r="F156" t="str">
        <f>IF(A156="","",4*AVERAGE($E$7:E156))</f>
        <v/>
      </c>
      <c r="R156" t="str">
        <f>IF(L156="","",6*AVERAGE($Q$7:Q156))</f>
        <v/>
      </c>
    </row>
    <row r="157" spans="6:18" x14ac:dyDescent="0.3">
      <c r="F157" t="str">
        <f>IF(A157="","",4*AVERAGE($E$7:E157))</f>
        <v/>
      </c>
      <c r="R157" t="str">
        <f>IF(L157="","",6*AVERAGE($Q$7:Q157))</f>
        <v/>
      </c>
    </row>
    <row r="158" spans="6:18" x14ac:dyDescent="0.3">
      <c r="F158" t="str">
        <f>IF(A158="","",4*AVERAGE($E$7:E158))</f>
        <v/>
      </c>
      <c r="R158" t="str">
        <f>IF(L158="","",6*AVERAGE($Q$7:Q158))</f>
        <v/>
      </c>
    </row>
    <row r="159" spans="6:18" x14ac:dyDescent="0.3">
      <c r="F159" t="str">
        <f>IF(A159="","",4*AVERAGE($E$7:E159))</f>
        <v/>
      </c>
      <c r="R159" t="str">
        <f>IF(L159="","",6*AVERAGE($Q$7:Q159))</f>
        <v/>
      </c>
    </row>
    <row r="160" spans="6:18" x14ac:dyDescent="0.3">
      <c r="F160" t="str">
        <f>IF(A160="","",4*AVERAGE($E$7:E160))</f>
        <v/>
      </c>
      <c r="R160" t="str">
        <f>IF(L160="","",6*AVERAGE($Q$7:Q160))</f>
        <v/>
      </c>
    </row>
    <row r="161" spans="6:18" x14ac:dyDescent="0.3">
      <c r="F161" t="str">
        <f>IF(A161="","",4*AVERAGE($E$7:E161))</f>
        <v/>
      </c>
      <c r="R161" t="str">
        <f>IF(L161="","",6*AVERAGE($Q$7:Q161))</f>
        <v/>
      </c>
    </row>
    <row r="162" spans="6:18" x14ac:dyDescent="0.3">
      <c r="F162" t="str">
        <f>IF(A162="","",4*AVERAGE($E$7:E162))</f>
        <v/>
      </c>
      <c r="R162" t="str">
        <f>IF(L162="","",6*AVERAGE($Q$7:Q162))</f>
        <v/>
      </c>
    </row>
    <row r="163" spans="6:18" x14ac:dyDescent="0.3">
      <c r="F163" t="str">
        <f>IF(A163="","",4*AVERAGE($E$7:E163))</f>
        <v/>
      </c>
      <c r="R163" t="str">
        <f>IF(L163="","",6*AVERAGE($Q$7:Q163))</f>
        <v/>
      </c>
    </row>
    <row r="164" spans="6:18" x14ac:dyDescent="0.3">
      <c r="F164" t="str">
        <f>IF(A164="","",4*AVERAGE($E$7:E164))</f>
        <v/>
      </c>
      <c r="R164" t="str">
        <f>IF(L164="","",6*AVERAGE($Q$7:Q164))</f>
        <v/>
      </c>
    </row>
    <row r="165" spans="6:18" x14ac:dyDescent="0.3">
      <c r="F165" t="str">
        <f>IF(A165="","",4*AVERAGE($E$7:E165))</f>
        <v/>
      </c>
      <c r="R165" t="str">
        <f>IF(L165="","",6*AVERAGE($Q$7:Q165))</f>
        <v/>
      </c>
    </row>
    <row r="166" spans="6:18" x14ac:dyDescent="0.3">
      <c r="F166" t="str">
        <f>IF(A166="","",4*AVERAGE($E$7:E166))</f>
        <v/>
      </c>
      <c r="R166" t="str">
        <f>IF(L166="","",6*AVERAGE($Q$7:Q166))</f>
        <v/>
      </c>
    </row>
    <row r="167" spans="6:18" x14ac:dyDescent="0.3">
      <c r="F167" t="str">
        <f>IF(A167="","",4*AVERAGE($E$7:E167))</f>
        <v/>
      </c>
      <c r="R167" t="str">
        <f>IF(L167="","",6*AVERAGE($Q$7:Q167))</f>
        <v/>
      </c>
    </row>
    <row r="168" spans="6:18" x14ac:dyDescent="0.3">
      <c r="F168" t="str">
        <f>IF(A168="","",4*AVERAGE($E$7:E168))</f>
        <v/>
      </c>
      <c r="R168" t="str">
        <f>IF(L168="","",6*AVERAGE($Q$7:Q168))</f>
        <v/>
      </c>
    </row>
    <row r="169" spans="6:18" x14ac:dyDescent="0.3">
      <c r="F169" t="str">
        <f>IF(A169="","",4*AVERAGE($E$7:E169))</f>
        <v/>
      </c>
      <c r="R169" t="str">
        <f>IF(L169="","",6*AVERAGE($Q$7:Q169))</f>
        <v/>
      </c>
    </row>
    <row r="170" spans="6:18" x14ac:dyDescent="0.3">
      <c r="F170" t="str">
        <f>IF(A170="","",4*AVERAGE($E$7:E170))</f>
        <v/>
      </c>
      <c r="R170" t="str">
        <f>IF(L170="","",6*AVERAGE($Q$7:Q170))</f>
        <v/>
      </c>
    </row>
    <row r="171" spans="6:18" x14ac:dyDescent="0.3">
      <c r="F171" t="str">
        <f>IF(A171="","",4*AVERAGE($E$7:E171))</f>
        <v/>
      </c>
      <c r="R171" t="str">
        <f>IF(L171="","",6*AVERAGE($Q$7:Q171))</f>
        <v/>
      </c>
    </row>
    <row r="172" spans="6:18" x14ac:dyDescent="0.3">
      <c r="F172" t="str">
        <f>IF(A172="","",4*AVERAGE($E$7:E172))</f>
        <v/>
      </c>
      <c r="R172" t="str">
        <f>IF(L172="","",6*AVERAGE($Q$7:Q172))</f>
        <v/>
      </c>
    </row>
    <row r="173" spans="6:18" x14ac:dyDescent="0.3">
      <c r="F173" t="str">
        <f>IF(A173="","",4*AVERAGE($E$7:E173))</f>
        <v/>
      </c>
      <c r="R173" t="str">
        <f>IF(L173="","",6*AVERAGE($Q$7:Q173))</f>
        <v/>
      </c>
    </row>
    <row r="174" spans="6:18" x14ac:dyDescent="0.3">
      <c r="F174" t="str">
        <f>IF(A174="","",4*AVERAGE($E$7:E174))</f>
        <v/>
      </c>
      <c r="R174" t="str">
        <f>IF(L174="","",6*AVERAGE($Q$7:Q174))</f>
        <v/>
      </c>
    </row>
    <row r="175" spans="6:18" x14ac:dyDescent="0.3">
      <c r="F175" t="str">
        <f>IF(A175="","",4*AVERAGE($E$7:E175))</f>
        <v/>
      </c>
      <c r="R175" t="str">
        <f>IF(L175="","",6*AVERAGE($Q$7:Q175))</f>
        <v/>
      </c>
    </row>
    <row r="176" spans="6:18" x14ac:dyDescent="0.3">
      <c r="F176" t="str">
        <f>IF(A176="","",4*AVERAGE($E$7:E176))</f>
        <v/>
      </c>
      <c r="R176" t="str">
        <f>IF(L176="","",6*AVERAGE($Q$7:Q176))</f>
        <v/>
      </c>
    </row>
    <row r="177" spans="6:18" x14ac:dyDescent="0.3">
      <c r="F177" t="str">
        <f>IF(A177="","",4*AVERAGE($E$7:E177))</f>
        <v/>
      </c>
      <c r="R177" t="str">
        <f>IF(L177="","",6*AVERAGE($Q$7:Q177))</f>
        <v/>
      </c>
    </row>
    <row r="178" spans="6:18" x14ac:dyDescent="0.3">
      <c r="F178" t="str">
        <f>IF(A178="","",4*AVERAGE($E$7:E178))</f>
        <v/>
      </c>
      <c r="R178" t="str">
        <f>IF(L178="","",6*AVERAGE($Q$7:Q178))</f>
        <v/>
      </c>
    </row>
    <row r="179" spans="6:18" x14ac:dyDescent="0.3">
      <c r="F179" t="str">
        <f>IF(A179="","",4*AVERAGE($E$7:E179))</f>
        <v/>
      </c>
      <c r="R179" t="str">
        <f>IF(L179="","",6*AVERAGE($Q$7:Q179))</f>
        <v/>
      </c>
    </row>
    <row r="180" spans="6:18" x14ac:dyDescent="0.3">
      <c r="F180" t="str">
        <f>IF(A180="","",4*AVERAGE($E$7:E180))</f>
        <v/>
      </c>
      <c r="R180" t="str">
        <f>IF(L180="","",6*AVERAGE($Q$7:Q180))</f>
        <v/>
      </c>
    </row>
    <row r="181" spans="6:18" x14ac:dyDescent="0.3">
      <c r="F181" t="str">
        <f>IF(A181="","",4*AVERAGE($E$7:E181))</f>
        <v/>
      </c>
      <c r="R181" t="str">
        <f>IF(L181="","",6*AVERAGE($Q$7:Q181))</f>
        <v/>
      </c>
    </row>
    <row r="182" spans="6:18" x14ac:dyDescent="0.3">
      <c r="F182" t="str">
        <f>IF(A182="","",4*AVERAGE($E$7:E182))</f>
        <v/>
      </c>
      <c r="R182" t="str">
        <f>IF(L182="","",6*AVERAGE($Q$7:Q182))</f>
        <v/>
      </c>
    </row>
    <row r="183" spans="6:18" x14ac:dyDescent="0.3">
      <c r="F183" t="str">
        <f>IF(A183="","",4*AVERAGE($E$7:E183))</f>
        <v/>
      </c>
      <c r="R183" t="str">
        <f>IF(L183="","",6*AVERAGE($Q$7:Q183))</f>
        <v/>
      </c>
    </row>
    <row r="184" spans="6:18" x14ac:dyDescent="0.3">
      <c r="F184" t="str">
        <f>IF(A184="","",4*AVERAGE($E$7:E184))</f>
        <v/>
      </c>
      <c r="R184" t="str">
        <f>IF(L184="","",6*AVERAGE($Q$7:Q184))</f>
        <v/>
      </c>
    </row>
    <row r="185" spans="6:18" x14ac:dyDescent="0.3">
      <c r="F185" t="str">
        <f>IF(A185="","",4*AVERAGE($E$7:E185))</f>
        <v/>
      </c>
      <c r="R185" t="str">
        <f>IF(L185="","",6*AVERAGE($Q$7:Q185))</f>
        <v/>
      </c>
    </row>
    <row r="186" spans="6:18" x14ac:dyDescent="0.3">
      <c r="F186" t="str">
        <f>IF(A186="","",4*AVERAGE($E$7:E186))</f>
        <v/>
      </c>
      <c r="R186" t="str">
        <f>IF(L186="","",6*AVERAGE($Q$7:Q186))</f>
        <v/>
      </c>
    </row>
    <row r="187" spans="6:18" x14ac:dyDescent="0.3">
      <c r="F187" t="str">
        <f>IF(A187="","",4*AVERAGE($E$7:E187))</f>
        <v/>
      </c>
      <c r="R187" t="str">
        <f>IF(L187="","",6*AVERAGE($Q$7:Q187))</f>
        <v/>
      </c>
    </row>
    <row r="188" spans="6:18" x14ac:dyDescent="0.3">
      <c r="F188" t="str">
        <f>IF(A188="","",4*AVERAGE($E$7:E188))</f>
        <v/>
      </c>
      <c r="R188" t="str">
        <f>IF(L188="","",6*AVERAGE($Q$7:Q188))</f>
        <v/>
      </c>
    </row>
    <row r="189" spans="6:18" x14ac:dyDescent="0.3">
      <c r="F189" t="str">
        <f>IF(A189="","",4*AVERAGE($E$7:E189))</f>
        <v/>
      </c>
      <c r="R189" t="str">
        <f>IF(L189="","",6*AVERAGE($Q$7:Q189))</f>
        <v/>
      </c>
    </row>
    <row r="190" spans="6:18" x14ac:dyDescent="0.3">
      <c r="F190" t="str">
        <f>IF(A190="","",4*AVERAGE($E$7:E190))</f>
        <v/>
      </c>
      <c r="R190" t="str">
        <f>IF(L190="","",6*AVERAGE($Q$7:Q190))</f>
        <v/>
      </c>
    </row>
    <row r="191" spans="6:18" x14ac:dyDescent="0.3">
      <c r="F191" t="str">
        <f>IF(A191="","",4*AVERAGE($E$7:E191))</f>
        <v/>
      </c>
      <c r="R191" t="str">
        <f>IF(L191="","",6*AVERAGE($Q$7:Q191))</f>
        <v/>
      </c>
    </row>
    <row r="192" spans="6:18" x14ac:dyDescent="0.3">
      <c r="F192" t="str">
        <f>IF(A192="","",4*AVERAGE($E$7:E192))</f>
        <v/>
      </c>
      <c r="R192" t="str">
        <f>IF(L192="","",6*AVERAGE($Q$7:Q192))</f>
        <v/>
      </c>
    </row>
    <row r="193" spans="6:18" x14ac:dyDescent="0.3">
      <c r="F193" t="str">
        <f>IF(A193="","",4*AVERAGE($E$7:E193))</f>
        <v/>
      </c>
      <c r="R193" t="str">
        <f>IF(L193="","",6*AVERAGE($Q$7:Q193))</f>
        <v/>
      </c>
    </row>
    <row r="194" spans="6:18" x14ac:dyDescent="0.3">
      <c r="F194" t="str">
        <f>IF(A194="","",4*AVERAGE($E$7:E194))</f>
        <v/>
      </c>
      <c r="R194" t="str">
        <f>IF(L194="","",6*AVERAGE($Q$7:Q194))</f>
        <v/>
      </c>
    </row>
    <row r="195" spans="6:18" x14ac:dyDescent="0.3">
      <c r="F195" t="str">
        <f>IF(A195="","",4*AVERAGE($E$7:E195))</f>
        <v/>
      </c>
      <c r="R195" t="str">
        <f>IF(L195="","",6*AVERAGE($Q$7:Q195))</f>
        <v/>
      </c>
    </row>
    <row r="196" spans="6:18" x14ac:dyDescent="0.3">
      <c r="F196" t="str">
        <f>IF(A196="","",4*AVERAGE($E$7:E196))</f>
        <v/>
      </c>
      <c r="R196" t="str">
        <f>IF(L196="","",6*AVERAGE($Q$7:Q196))</f>
        <v/>
      </c>
    </row>
    <row r="197" spans="6:18" x14ac:dyDescent="0.3">
      <c r="F197" t="str">
        <f>IF(A197="","",4*AVERAGE($E$7:E197))</f>
        <v/>
      </c>
      <c r="R197" t="str">
        <f>IF(L197="","",6*AVERAGE($Q$7:Q197))</f>
        <v/>
      </c>
    </row>
    <row r="198" spans="6:18" x14ac:dyDescent="0.3">
      <c r="F198" t="str">
        <f>IF(A198="","",4*AVERAGE($E$7:E198))</f>
        <v/>
      </c>
      <c r="R198" t="str">
        <f>IF(L198="","",6*AVERAGE($Q$7:Q198))</f>
        <v/>
      </c>
    </row>
    <row r="199" spans="6:18" x14ac:dyDescent="0.3">
      <c r="F199" t="str">
        <f>IF(A199="","",4*AVERAGE($E$7:E199))</f>
        <v/>
      </c>
      <c r="R199" t="str">
        <f>IF(L199="","",6*AVERAGE($Q$7:Q199))</f>
        <v/>
      </c>
    </row>
    <row r="200" spans="6:18" x14ac:dyDescent="0.3">
      <c r="F200" t="str">
        <f>IF(A200="","",4*AVERAGE($E$7:E200))</f>
        <v/>
      </c>
      <c r="R200" t="str">
        <f>IF(L200="","",6*AVERAGE($Q$7:Q200))</f>
        <v/>
      </c>
    </row>
    <row r="201" spans="6:18" x14ac:dyDescent="0.3">
      <c r="F201" t="str">
        <f>IF(A201="","",4*AVERAGE($E$7:E201))</f>
        <v/>
      </c>
      <c r="R201" t="str">
        <f>IF(L201="","",6*AVERAGE($Q$7:Q201))</f>
        <v/>
      </c>
    </row>
    <row r="202" spans="6:18" x14ac:dyDescent="0.3">
      <c r="F202" t="str">
        <f>IF(A202="","",4*AVERAGE($E$7:E202))</f>
        <v/>
      </c>
      <c r="R202" t="str">
        <f>IF(L202="","",6*AVERAGE($Q$7:Q202))</f>
        <v/>
      </c>
    </row>
    <row r="203" spans="6:18" x14ac:dyDescent="0.3">
      <c r="F203" t="str">
        <f>IF(A203="","",4*AVERAGE($E$7:E203))</f>
        <v/>
      </c>
      <c r="R203" t="str">
        <f>IF(L203="","",6*AVERAGE($Q$7:Q203))</f>
        <v/>
      </c>
    </row>
    <row r="204" spans="6:18" x14ac:dyDescent="0.3">
      <c r="F204" t="str">
        <f>IF(A204="","",4*AVERAGE($E$7:E204))</f>
        <v/>
      </c>
      <c r="R204" t="str">
        <f>IF(L204="","",6*AVERAGE($Q$7:Q204))</f>
        <v/>
      </c>
    </row>
    <row r="205" spans="6:18" x14ac:dyDescent="0.3">
      <c r="F205" t="str">
        <f>IF(A205="","",4*AVERAGE($E$7:E205))</f>
        <v/>
      </c>
      <c r="R205" t="str">
        <f>IF(L205="","",6*AVERAGE($Q$7:Q205))</f>
        <v/>
      </c>
    </row>
    <row r="206" spans="6:18" x14ac:dyDescent="0.3">
      <c r="F206" t="str">
        <f>IF(A206="","",4*AVERAGE($E$7:E206))</f>
        <v/>
      </c>
      <c r="R206" t="str">
        <f>IF(L206="","",6*AVERAGE($Q$7:Q206))</f>
        <v/>
      </c>
    </row>
    <row r="207" spans="6:18" x14ac:dyDescent="0.3">
      <c r="F207" t="str">
        <f>IF(A207="","",4*AVERAGE($E$7:E207))</f>
        <v/>
      </c>
      <c r="R207" t="str">
        <f>IF(L207="","",6*AVERAGE($Q$7:Q207))</f>
        <v/>
      </c>
    </row>
    <row r="208" spans="6:18" x14ac:dyDescent="0.3">
      <c r="F208" t="str">
        <f>IF(A208="","",4*AVERAGE($E$7:E208))</f>
        <v/>
      </c>
      <c r="R208" t="str">
        <f>IF(L208="","",6*AVERAGE($Q$7:Q208))</f>
        <v/>
      </c>
    </row>
    <row r="209" spans="6:18" x14ac:dyDescent="0.3">
      <c r="F209" t="str">
        <f>IF(A209="","",4*AVERAGE($E$7:E209))</f>
        <v/>
      </c>
      <c r="R209" t="str">
        <f>IF(L209="","",6*AVERAGE($Q$7:Q209))</f>
        <v/>
      </c>
    </row>
    <row r="210" spans="6:18" x14ac:dyDescent="0.3">
      <c r="F210" t="str">
        <f>IF(A210="","",4*AVERAGE($E$7:E210))</f>
        <v/>
      </c>
      <c r="R210" t="str">
        <f>IF(L210="","",6*AVERAGE($Q$7:Q210))</f>
        <v/>
      </c>
    </row>
    <row r="211" spans="6:18" x14ac:dyDescent="0.3">
      <c r="F211" t="str">
        <f>IF(A211="","",4*AVERAGE($E$7:E211))</f>
        <v/>
      </c>
      <c r="R211" t="str">
        <f>IF(L211="","",6*AVERAGE($Q$7:Q211))</f>
        <v/>
      </c>
    </row>
    <row r="212" spans="6:18" x14ac:dyDescent="0.3">
      <c r="F212" t="str">
        <f>IF(A212="","",4*AVERAGE($E$7:E212))</f>
        <v/>
      </c>
      <c r="R212" t="str">
        <f>IF(L212="","",6*AVERAGE($Q$7:Q212))</f>
        <v/>
      </c>
    </row>
    <row r="213" spans="6:18" x14ac:dyDescent="0.3">
      <c r="F213" t="str">
        <f>IF(A213="","",4*AVERAGE($E$7:E213))</f>
        <v/>
      </c>
      <c r="R213" t="str">
        <f>IF(L213="","",6*AVERAGE($Q$7:Q213))</f>
        <v/>
      </c>
    </row>
    <row r="214" spans="6:18" x14ac:dyDescent="0.3">
      <c r="F214" t="str">
        <f>IF(A214="","",4*AVERAGE($E$7:E214))</f>
        <v/>
      </c>
      <c r="R214" t="str">
        <f>IF(L214="","",6*AVERAGE($Q$7:Q214))</f>
        <v/>
      </c>
    </row>
    <row r="215" spans="6:18" x14ac:dyDescent="0.3">
      <c r="F215" t="str">
        <f>IF(A215="","",4*AVERAGE($E$7:E215))</f>
        <v/>
      </c>
      <c r="R215" t="str">
        <f>IF(L215="","",6*AVERAGE($Q$7:Q215))</f>
        <v/>
      </c>
    </row>
    <row r="216" spans="6:18" x14ac:dyDescent="0.3">
      <c r="F216" t="str">
        <f>IF(A216="","",4*AVERAGE($E$7:E216))</f>
        <v/>
      </c>
      <c r="R216" t="str">
        <f>IF(L216="","",6*AVERAGE($Q$7:Q216))</f>
        <v/>
      </c>
    </row>
    <row r="217" spans="6:18" x14ac:dyDescent="0.3">
      <c r="F217" t="str">
        <f>IF(A217="","",4*AVERAGE($E$7:E217))</f>
        <v/>
      </c>
      <c r="R217" t="str">
        <f>IF(L217="","",6*AVERAGE($Q$7:Q217))</f>
        <v/>
      </c>
    </row>
    <row r="218" spans="6:18" x14ac:dyDescent="0.3">
      <c r="F218" t="str">
        <f>IF(A218="","",4*AVERAGE($E$7:E218))</f>
        <v/>
      </c>
      <c r="R218" t="str">
        <f>IF(L218="","",6*AVERAGE($Q$7:Q218))</f>
        <v/>
      </c>
    </row>
    <row r="219" spans="6:18" x14ac:dyDescent="0.3">
      <c r="F219" t="str">
        <f>IF(A219="","",4*AVERAGE($E$7:E219))</f>
        <v/>
      </c>
      <c r="R219" t="str">
        <f>IF(L219="","",6*AVERAGE($Q$7:Q219))</f>
        <v/>
      </c>
    </row>
    <row r="220" spans="6:18" x14ac:dyDescent="0.3">
      <c r="F220" t="str">
        <f>IF(A220="","",4*AVERAGE($E$7:E220))</f>
        <v/>
      </c>
      <c r="R220" t="str">
        <f>IF(L220="","",6*AVERAGE($Q$7:Q220))</f>
        <v/>
      </c>
    </row>
    <row r="221" spans="6:18" x14ac:dyDescent="0.3">
      <c r="F221" t="str">
        <f>IF(A221="","",4*AVERAGE($E$7:E221))</f>
        <v/>
      </c>
      <c r="R221" t="str">
        <f>IF(L221="","",6*AVERAGE($Q$7:Q221))</f>
        <v/>
      </c>
    </row>
    <row r="222" spans="6:18" x14ac:dyDescent="0.3">
      <c r="F222" t="str">
        <f>IF(A222="","",4*AVERAGE($E$7:E222))</f>
        <v/>
      </c>
      <c r="R222" t="str">
        <f>IF(L222="","",6*AVERAGE($Q$7:Q222))</f>
        <v/>
      </c>
    </row>
    <row r="223" spans="6:18" x14ac:dyDescent="0.3">
      <c r="F223" t="str">
        <f>IF(A223="","",4*AVERAGE($E$7:E223))</f>
        <v/>
      </c>
      <c r="R223" t="str">
        <f>IF(L223="","",6*AVERAGE($Q$7:Q223))</f>
        <v/>
      </c>
    </row>
    <row r="224" spans="6:18" x14ac:dyDescent="0.3">
      <c r="F224" t="str">
        <f>IF(A224="","",4*AVERAGE($E$7:E224))</f>
        <v/>
      </c>
      <c r="R224" t="str">
        <f>IF(L224="","",6*AVERAGE($Q$7:Q224))</f>
        <v/>
      </c>
    </row>
    <row r="225" spans="6:18" x14ac:dyDescent="0.3">
      <c r="F225" t="str">
        <f>IF(A225="","",4*AVERAGE($E$7:E225))</f>
        <v/>
      </c>
      <c r="R225" t="str">
        <f>IF(L225="","",6*AVERAGE($Q$7:Q225))</f>
        <v/>
      </c>
    </row>
    <row r="226" spans="6:18" x14ac:dyDescent="0.3">
      <c r="F226" t="str">
        <f>IF(A226="","",4*AVERAGE($E$7:E226))</f>
        <v/>
      </c>
      <c r="R226" t="str">
        <f>IF(L226="","",6*AVERAGE($Q$7:Q226))</f>
        <v/>
      </c>
    </row>
    <row r="227" spans="6:18" x14ac:dyDescent="0.3">
      <c r="F227" t="str">
        <f>IF(A227="","",4*AVERAGE($E$7:E227))</f>
        <v/>
      </c>
      <c r="R227" t="str">
        <f>IF(L227="","",6*AVERAGE($Q$7:Q227))</f>
        <v/>
      </c>
    </row>
    <row r="228" spans="6:18" x14ac:dyDescent="0.3">
      <c r="F228" t="str">
        <f>IF(A228="","",4*AVERAGE($E$7:E228))</f>
        <v/>
      </c>
      <c r="R228" t="str">
        <f>IF(L228="","",6*AVERAGE($Q$7:Q228))</f>
        <v/>
      </c>
    </row>
    <row r="229" spans="6:18" x14ac:dyDescent="0.3">
      <c r="F229" t="str">
        <f>IF(A229="","",4*AVERAGE($E$7:E229))</f>
        <v/>
      </c>
      <c r="R229" t="str">
        <f>IF(L229="","",6*AVERAGE($Q$7:Q229))</f>
        <v/>
      </c>
    </row>
    <row r="230" spans="6:18" x14ac:dyDescent="0.3">
      <c r="F230" t="str">
        <f>IF(A230="","",4*AVERAGE($E$7:E230))</f>
        <v/>
      </c>
      <c r="R230" t="str">
        <f>IF(L230="","",6*AVERAGE($Q$7:Q230))</f>
        <v/>
      </c>
    </row>
    <row r="231" spans="6:18" x14ac:dyDescent="0.3">
      <c r="F231" t="str">
        <f>IF(A231="","",4*AVERAGE($E$7:E231))</f>
        <v/>
      </c>
      <c r="R231" t="str">
        <f>IF(L231="","",6*AVERAGE($Q$7:Q231))</f>
        <v/>
      </c>
    </row>
    <row r="232" spans="6:18" x14ac:dyDescent="0.3">
      <c r="F232" t="str">
        <f>IF(A232="","",4*AVERAGE($E$7:E232))</f>
        <v/>
      </c>
      <c r="R232" t="str">
        <f>IF(L232="","",6*AVERAGE($Q$7:Q232))</f>
        <v/>
      </c>
    </row>
    <row r="233" spans="6:18" x14ac:dyDescent="0.3">
      <c r="F233" t="str">
        <f>IF(A233="","",4*AVERAGE($E$7:E233))</f>
        <v/>
      </c>
      <c r="R233" t="str">
        <f>IF(L233="","",6*AVERAGE($Q$7:Q233))</f>
        <v/>
      </c>
    </row>
    <row r="234" spans="6:18" x14ac:dyDescent="0.3">
      <c r="F234" t="str">
        <f>IF(A234="","",4*AVERAGE($E$7:E234))</f>
        <v/>
      </c>
      <c r="R234" t="str">
        <f>IF(L234="","",6*AVERAGE($Q$7:Q234))</f>
        <v/>
      </c>
    </row>
    <row r="235" spans="6:18" x14ac:dyDescent="0.3">
      <c r="F235" t="str">
        <f>IF(A235="","",4*AVERAGE($E$7:E235))</f>
        <v/>
      </c>
      <c r="R235" t="str">
        <f>IF(L235="","",6*AVERAGE($Q$7:Q235))</f>
        <v/>
      </c>
    </row>
    <row r="236" spans="6:18" x14ac:dyDescent="0.3">
      <c r="F236" t="str">
        <f>IF(A236="","",4*AVERAGE($E$7:E236))</f>
        <v/>
      </c>
      <c r="R236" t="str">
        <f>IF(L236="","",6*AVERAGE($Q$7:Q236))</f>
        <v/>
      </c>
    </row>
    <row r="237" spans="6:18" x14ac:dyDescent="0.3">
      <c r="F237" t="str">
        <f>IF(A237="","",4*AVERAGE($E$7:E237))</f>
        <v/>
      </c>
      <c r="R237" t="str">
        <f>IF(L237="","",6*AVERAGE($Q$7:Q237))</f>
        <v/>
      </c>
    </row>
    <row r="238" spans="6:18" x14ac:dyDescent="0.3">
      <c r="F238" t="str">
        <f>IF(A238="","",4*AVERAGE($E$7:E238))</f>
        <v/>
      </c>
      <c r="R238" t="str">
        <f>IF(L238="","",6*AVERAGE($Q$7:Q238))</f>
        <v/>
      </c>
    </row>
    <row r="239" spans="6:18" x14ac:dyDescent="0.3">
      <c r="F239" t="str">
        <f>IF(A239="","",4*AVERAGE($E$7:E239))</f>
        <v/>
      </c>
      <c r="R239" t="str">
        <f>IF(L239="","",6*AVERAGE($Q$7:Q239))</f>
        <v/>
      </c>
    </row>
    <row r="240" spans="6:18" x14ac:dyDescent="0.3">
      <c r="F240" t="str">
        <f>IF(A240="","",4*AVERAGE($E$7:E240))</f>
        <v/>
      </c>
      <c r="R240" t="str">
        <f>IF(L240="","",6*AVERAGE($Q$7:Q240))</f>
        <v/>
      </c>
    </row>
    <row r="241" spans="6:18" x14ac:dyDescent="0.3">
      <c r="F241" t="str">
        <f>IF(A241="","",4*AVERAGE($E$7:E241))</f>
        <v/>
      </c>
      <c r="R241" t="str">
        <f>IF(L241="","",6*AVERAGE($Q$7:Q241))</f>
        <v/>
      </c>
    </row>
    <row r="242" spans="6:18" x14ac:dyDescent="0.3">
      <c r="F242" t="str">
        <f>IF(A242="","",4*AVERAGE($E$7:E242))</f>
        <v/>
      </c>
      <c r="R242" t="str">
        <f>IF(L242="","",6*AVERAGE($Q$7:Q242))</f>
        <v/>
      </c>
    </row>
    <row r="243" spans="6:18" x14ac:dyDescent="0.3">
      <c r="F243" t="str">
        <f>IF(A243="","",4*AVERAGE($E$7:E243))</f>
        <v/>
      </c>
      <c r="R243" t="str">
        <f>IF(L243="","",6*AVERAGE($Q$7:Q243))</f>
        <v/>
      </c>
    </row>
    <row r="244" spans="6:18" x14ac:dyDescent="0.3">
      <c r="F244" t="str">
        <f>IF(A244="","",4*AVERAGE($E$7:E244))</f>
        <v/>
      </c>
      <c r="R244" t="str">
        <f>IF(L244="","",6*AVERAGE($Q$7:Q244))</f>
        <v/>
      </c>
    </row>
    <row r="245" spans="6:18" x14ac:dyDescent="0.3">
      <c r="F245" t="str">
        <f>IF(A245="","",4*AVERAGE($E$7:E245))</f>
        <v/>
      </c>
      <c r="R245" t="str">
        <f>IF(L245="","",6*AVERAGE($Q$7:Q245))</f>
        <v/>
      </c>
    </row>
    <row r="246" spans="6:18" x14ac:dyDescent="0.3">
      <c r="F246" t="str">
        <f>IF(A246="","",4*AVERAGE($E$7:E246))</f>
        <v/>
      </c>
      <c r="R246" t="str">
        <f>IF(L246="","",6*AVERAGE($Q$7:Q246))</f>
        <v/>
      </c>
    </row>
    <row r="247" spans="6:18" x14ac:dyDescent="0.3">
      <c r="F247" t="str">
        <f>IF(A247="","",4*AVERAGE($E$7:E247))</f>
        <v/>
      </c>
      <c r="R247" t="str">
        <f>IF(L247="","",6*AVERAGE($Q$7:Q247))</f>
        <v/>
      </c>
    </row>
    <row r="248" spans="6:18" x14ac:dyDescent="0.3">
      <c r="F248" t="str">
        <f>IF(A248="","",4*AVERAGE($E$7:E248))</f>
        <v/>
      </c>
      <c r="R248" t="str">
        <f>IF(L248="","",6*AVERAGE($Q$7:Q248))</f>
        <v/>
      </c>
    </row>
    <row r="249" spans="6:18" x14ac:dyDescent="0.3">
      <c r="F249" t="str">
        <f>IF(A249="","",4*AVERAGE($E$7:E249))</f>
        <v/>
      </c>
      <c r="R249" t="str">
        <f>IF(L249="","",6*AVERAGE($Q$7:Q249))</f>
        <v/>
      </c>
    </row>
    <row r="250" spans="6:18" x14ac:dyDescent="0.3">
      <c r="F250" t="str">
        <f>IF(A250="","",4*AVERAGE($E$7:E250))</f>
        <v/>
      </c>
      <c r="R250" t="str">
        <f>IF(L250="","",6*AVERAGE($Q$7:Q250))</f>
        <v/>
      </c>
    </row>
    <row r="251" spans="6:18" x14ac:dyDescent="0.3">
      <c r="F251" t="str">
        <f>IF(A251="","",4*AVERAGE($E$7:E251))</f>
        <v/>
      </c>
      <c r="R251" t="str">
        <f>IF(L251="","",6*AVERAGE($Q$7:Q251))</f>
        <v/>
      </c>
    </row>
    <row r="252" spans="6:18" x14ac:dyDescent="0.3">
      <c r="F252" t="str">
        <f>IF(A252="","",4*AVERAGE($E$7:E252))</f>
        <v/>
      </c>
      <c r="R252" t="str">
        <f>IF(L252="","",6*AVERAGE($Q$7:Q252))</f>
        <v/>
      </c>
    </row>
    <row r="253" spans="6:18" x14ac:dyDescent="0.3">
      <c r="F253" t="str">
        <f>IF(A253="","",4*AVERAGE($E$7:E253))</f>
        <v/>
      </c>
      <c r="R253" t="str">
        <f>IF(L253="","",6*AVERAGE($Q$7:Q253))</f>
        <v/>
      </c>
    </row>
    <row r="254" spans="6:18" x14ac:dyDescent="0.3">
      <c r="F254" t="str">
        <f>IF(A254="","",4*AVERAGE($E$7:E254))</f>
        <v/>
      </c>
      <c r="R254" t="str">
        <f>IF(L254="","",6*AVERAGE($Q$7:Q254))</f>
        <v/>
      </c>
    </row>
    <row r="255" spans="6:18" x14ac:dyDescent="0.3">
      <c r="F255" t="str">
        <f>IF(A255="","",4*AVERAGE($E$7:E255))</f>
        <v/>
      </c>
      <c r="R255" t="str">
        <f>IF(L255="","",6*AVERAGE($Q$7:Q255))</f>
        <v/>
      </c>
    </row>
    <row r="256" spans="6:18" x14ac:dyDescent="0.3">
      <c r="F256" t="str">
        <f>IF(A256="","",4*AVERAGE($E$7:E256))</f>
        <v/>
      </c>
      <c r="R256" t="str">
        <f>IF(L256="","",6*AVERAGE($Q$7:Q256))</f>
        <v/>
      </c>
    </row>
    <row r="257" spans="6:18" x14ac:dyDescent="0.3">
      <c r="F257" t="str">
        <f>IF(A257="","",4*AVERAGE($E$7:E257))</f>
        <v/>
      </c>
      <c r="R257" t="str">
        <f>IF(L257="","",6*AVERAGE($Q$7:Q257))</f>
        <v/>
      </c>
    </row>
    <row r="258" spans="6:18" x14ac:dyDescent="0.3">
      <c r="F258" t="str">
        <f>IF(A258="","",4*AVERAGE($E$7:E258))</f>
        <v/>
      </c>
      <c r="R258" t="str">
        <f>IF(L258="","",6*AVERAGE($Q$7:Q258))</f>
        <v/>
      </c>
    </row>
    <row r="259" spans="6:18" x14ac:dyDescent="0.3">
      <c r="F259" t="str">
        <f>IF(A259="","",4*AVERAGE($E$7:E259))</f>
        <v/>
      </c>
      <c r="R259" t="str">
        <f>IF(L259="","",6*AVERAGE($Q$7:Q259))</f>
        <v/>
      </c>
    </row>
    <row r="260" spans="6:18" x14ac:dyDescent="0.3">
      <c r="F260" t="str">
        <f>IF(A260="","",4*AVERAGE($E$7:E260))</f>
        <v/>
      </c>
      <c r="R260" t="str">
        <f>IF(L260="","",6*AVERAGE($Q$7:Q260))</f>
        <v/>
      </c>
    </row>
    <row r="261" spans="6:18" x14ac:dyDescent="0.3">
      <c r="F261" t="str">
        <f>IF(A261="","",4*AVERAGE($E$7:E261))</f>
        <v/>
      </c>
      <c r="R261" t="str">
        <f>IF(L261="","",6*AVERAGE($Q$7:Q261))</f>
        <v/>
      </c>
    </row>
    <row r="262" spans="6:18" x14ac:dyDescent="0.3">
      <c r="F262" t="str">
        <f>IF(A262="","",4*AVERAGE($E$7:E262))</f>
        <v/>
      </c>
      <c r="R262" t="str">
        <f>IF(L262="","",6*AVERAGE($Q$7:Q262))</f>
        <v/>
      </c>
    </row>
    <row r="263" spans="6:18" x14ac:dyDescent="0.3">
      <c r="F263" t="str">
        <f>IF(A263="","",4*AVERAGE($E$7:E263))</f>
        <v/>
      </c>
      <c r="R263" t="str">
        <f>IF(L263="","",6*AVERAGE($Q$7:Q263))</f>
        <v/>
      </c>
    </row>
    <row r="264" spans="6:18" x14ac:dyDescent="0.3">
      <c r="F264" t="str">
        <f>IF(A264="","",4*AVERAGE($E$7:E264))</f>
        <v/>
      </c>
      <c r="R264" t="str">
        <f>IF(L264="","",6*AVERAGE($Q$7:Q264))</f>
        <v/>
      </c>
    </row>
    <row r="265" spans="6:18" x14ac:dyDescent="0.3">
      <c r="F265" t="str">
        <f>IF(A265="","",4*AVERAGE($E$7:E265))</f>
        <v/>
      </c>
      <c r="R265" t="str">
        <f>IF(L265="","",6*AVERAGE($Q$7:Q265))</f>
        <v/>
      </c>
    </row>
    <row r="266" spans="6:18" x14ac:dyDescent="0.3">
      <c r="F266" t="str">
        <f>IF(A266="","",4*AVERAGE($E$7:E266))</f>
        <v/>
      </c>
      <c r="R266" t="str">
        <f>IF(L266="","",6*AVERAGE($Q$7:Q266))</f>
        <v/>
      </c>
    </row>
    <row r="267" spans="6:18" x14ac:dyDescent="0.3">
      <c r="F267" t="str">
        <f>IF(A267="","",4*AVERAGE($E$7:E267))</f>
        <v/>
      </c>
      <c r="R267" t="str">
        <f>IF(L267="","",6*AVERAGE($Q$7:Q267))</f>
        <v/>
      </c>
    </row>
    <row r="268" spans="6:18" x14ac:dyDescent="0.3">
      <c r="F268" t="str">
        <f>IF(A268="","",4*AVERAGE($E$7:E268))</f>
        <v/>
      </c>
      <c r="R268" t="str">
        <f>IF(L268="","",6*AVERAGE($Q$7:Q268))</f>
        <v/>
      </c>
    </row>
    <row r="269" spans="6:18" x14ac:dyDescent="0.3">
      <c r="F269" t="str">
        <f>IF(A269="","",4*AVERAGE($E$7:E269))</f>
        <v/>
      </c>
      <c r="R269" t="str">
        <f>IF(L269="","",6*AVERAGE($Q$7:Q269))</f>
        <v/>
      </c>
    </row>
    <row r="270" spans="6:18" x14ac:dyDescent="0.3">
      <c r="F270" t="str">
        <f>IF(A270="","",4*AVERAGE($E$7:E270))</f>
        <v/>
      </c>
      <c r="R270" t="str">
        <f>IF(L270="","",6*AVERAGE($Q$7:Q270))</f>
        <v/>
      </c>
    </row>
    <row r="271" spans="6:18" x14ac:dyDescent="0.3">
      <c r="F271" t="str">
        <f>IF(A271="","",4*AVERAGE($E$7:E271))</f>
        <v/>
      </c>
      <c r="R271" t="str">
        <f>IF(L271="","",6*AVERAGE($Q$7:Q271))</f>
        <v/>
      </c>
    </row>
    <row r="272" spans="6:18" x14ac:dyDescent="0.3">
      <c r="F272" t="str">
        <f>IF(A272="","",4*AVERAGE($E$7:E272))</f>
        <v/>
      </c>
      <c r="R272" t="str">
        <f>IF(L272="","",6*AVERAGE($Q$7:Q272))</f>
        <v/>
      </c>
    </row>
    <row r="273" spans="6:18" x14ac:dyDescent="0.3">
      <c r="F273" t="str">
        <f>IF(A273="","",4*AVERAGE($E$7:E273))</f>
        <v/>
      </c>
      <c r="R273" t="str">
        <f>IF(L273="","",6*AVERAGE($Q$7:Q273))</f>
        <v/>
      </c>
    </row>
    <row r="274" spans="6:18" x14ac:dyDescent="0.3">
      <c r="F274" t="str">
        <f>IF(A274="","",4*AVERAGE($E$7:E274))</f>
        <v/>
      </c>
      <c r="R274" t="str">
        <f>IF(L274="","",6*AVERAGE($Q$7:Q274))</f>
        <v/>
      </c>
    </row>
    <row r="275" spans="6:18" x14ac:dyDescent="0.3">
      <c r="F275" t="str">
        <f>IF(A275="","",4*AVERAGE($E$7:E275))</f>
        <v/>
      </c>
      <c r="R275" t="str">
        <f>IF(L275="","",6*AVERAGE($Q$7:Q275))</f>
        <v/>
      </c>
    </row>
    <row r="276" spans="6:18" x14ac:dyDescent="0.3">
      <c r="F276" t="str">
        <f>IF(A276="","",4*AVERAGE($E$7:E276))</f>
        <v/>
      </c>
      <c r="R276" t="str">
        <f>IF(L276="","",6*AVERAGE($Q$7:Q276))</f>
        <v/>
      </c>
    </row>
    <row r="277" spans="6:18" x14ac:dyDescent="0.3">
      <c r="F277" t="str">
        <f>IF(A277="","",4*AVERAGE($E$7:E277))</f>
        <v/>
      </c>
      <c r="R277" t="str">
        <f>IF(L277="","",6*AVERAGE($Q$7:Q277))</f>
        <v/>
      </c>
    </row>
    <row r="278" spans="6:18" x14ac:dyDescent="0.3">
      <c r="F278" t="str">
        <f>IF(A278="","",4*AVERAGE($E$7:E278))</f>
        <v/>
      </c>
      <c r="R278" t="str">
        <f>IF(L278="","",6*AVERAGE($Q$7:Q278))</f>
        <v/>
      </c>
    </row>
    <row r="279" spans="6:18" x14ac:dyDescent="0.3">
      <c r="F279" t="str">
        <f>IF(A279="","",4*AVERAGE($E$7:E279))</f>
        <v/>
      </c>
      <c r="R279" t="str">
        <f>IF(L279="","",6*AVERAGE($Q$7:Q279))</f>
        <v/>
      </c>
    </row>
    <row r="280" spans="6:18" x14ac:dyDescent="0.3">
      <c r="F280" t="str">
        <f>IF(A280="","",4*AVERAGE($E$7:E280))</f>
        <v/>
      </c>
      <c r="R280" t="str">
        <f>IF(L280="","",6*AVERAGE($Q$7:Q280))</f>
        <v/>
      </c>
    </row>
    <row r="281" spans="6:18" x14ac:dyDescent="0.3">
      <c r="F281" t="str">
        <f>IF(A281="","",4*AVERAGE($E$7:E281))</f>
        <v/>
      </c>
      <c r="R281" t="str">
        <f>IF(L281="","",6*AVERAGE($Q$7:Q281))</f>
        <v/>
      </c>
    </row>
    <row r="282" spans="6:18" x14ac:dyDescent="0.3">
      <c r="F282" t="str">
        <f>IF(A282="","",4*AVERAGE($E$7:E282))</f>
        <v/>
      </c>
      <c r="R282" t="str">
        <f>IF(L282="","",6*AVERAGE($Q$7:Q282))</f>
        <v/>
      </c>
    </row>
    <row r="283" spans="6:18" x14ac:dyDescent="0.3">
      <c r="F283" t="str">
        <f>IF(A283="","",4*AVERAGE($E$7:E283))</f>
        <v/>
      </c>
      <c r="R283" t="str">
        <f>IF(L283="","",6*AVERAGE($Q$7:Q283))</f>
        <v/>
      </c>
    </row>
    <row r="284" spans="6:18" x14ac:dyDescent="0.3">
      <c r="F284" t="str">
        <f>IF(A284="","",4*AVERAGE($E$7:E284))</f>
        <v/>
      </c>
      <c r="R284" t="str">
        <f>IF(L284="","",6*AVERAGE($Q$7:Q284))</f>
        <v/>
      </c>
    </row>
    <row r="285" spans="6:18" x14ac:dyDescent="0.3">
      <c r="F285" t="str">
        <f>IF(A285="","",4*AVERAGE($E$7:E285))</f>
        <v/>
      </c>
      <c r="R285" t="str">
        <f>IF(L285="","",6*AVERAGE($Q$7:Q285))</f>
        <v/>
      </c>
    </row>
    <row r="286" spans="6:18" x14ac:dyDescent="0.3">
      <c r="F286" t="str">
        <f>IF(A286="","",4*AVERAGE($E$7:E286))</f>
        <v/>
      </c>
      <c r="R286" t="str">
        <f>IF(L286="","",6*AVERAGE($Q$7:Q286))</f>
        <v/>
      </c>
    </row>
    <row r="287" spans="6:18" x14ac:dyDescent="0.3">
      <c r="F287" t="str">
        <f>IF(A287="","",4*AVERAGE($E$7:E287))</f>
        <v/>
      </c>
      <c r="R287" t="str">
        <f>IF(L287="","",6*AVERAGE($Q$7:Q287))</f>
        <v/>
      </c>
    </row>
    <row r="288" spans="6:18" x14ac:dyDescent="0.3">
      <c r="F288" t="str">
        <f>IF(A288="","",4*AVERAGE($E$7:E288))</f>
        <v/>
      </c>
      <c r="R288" t="str">
        <f>IF(L288="","",6*AVERAGE($Q$7:Q288))</f>
        <v/>
      </c>
    </row>
    <row r="289" spans="6:18" x14ac:dyDescent="0.3">
      <c r="F289" t="str">
        <f>IF(A289="","",4*AVERAGE($E$7:E289))</f>
        <v/>
      </c>
      <c r="R289" t="str">
        <f>IF(L289="","",6*AVERAGE($Q$7:Q289))</f>
        <v/>
      </c>
    </row>
    <row r="290" spans="6:18" x14ac:dyDescent="0.3">
      <c r="F290" t="str">
        <f>IF(A290="","",4*AVERAGE($E$7:E290))</f>
        <v/>
      </c>
      <c r="R290" t="str">
        <f>IF(L290="","",6*AVERAGE($Q$7:Q290))</f>
        <v/>
      </c>
    </row>
    <row r="291" spans="6:18" x14ac:dyDescent="0.3">
      <c r="F291" t="str">
        <f>IF(A291="","",4*AVERAGE($E$7:E291))</f>
        <v/>
      </c>
      <c r="R291" t="str">
        <f>IF(L291="","",6*AVERAGE($Q$7:Q291))</f>
        <v/>
      </c>
    </row>
    <row r="292" spans="6:18" x14ac:dyDescent="0.3">
      <c r="F292" t="str">
        <f>IF(A292="","",4*AVERAGE($E$7:E292))</f>
        <v/>
      </c>
      <c r="R292" t="str">
        <f>IF(L292="","",6*AVERAGE($Q$7:Q292))</f>
        <v/>
      </c>
    </row>
    <row r="293" spans="6:18" x14ac:dyDescent="0.3">
      <c r="F293" t="str">
        <f>IF(A293="","",4*AVERAGE($E$7:E293))</f>
        <v/>
      </c>
      <c r="R293" t="str">
        <f>IF(L293="","",6*AVERAGE($Q$7:Q293))</f>
        <v/>
      </c>
    </row>
    <row r="294" spans="6:18" x14ac:dyDescent="0.3">
      <c r="F294" t="str">
        <f>IF(A294="","",4*AVERAGE($E$7:E294))</f>
        <v/>
      </c>
      <c r="R294" t="str">
        <f>IF(L294="","",6*AVERAGE($Q$7:Q294))</f>
        <v/>
      </c>
    </row>
    <row r="295" spans="6:18" x14ac:dyDescent="0.3">
      <c r="F295" t="str">
        <f>IF(A295="","",4*AVERAGE($E$7:E295))</f>
        <v/>
      </c>
      <c r="R295" t="str">
        <f>IF(L295="","",6*AVERAGE($Q$7:Q295))</f>
        <v/>
      </c>
    </row>
    <row r="296" spans="6:18" x14ac:dyDescent="0.3">
      <c r="F296" t="str">
        <f>IF(A296="","",4*AVERAGE($E$7:E296))</f>
        <v/>
      </c>
      <c r="R296" t="str">
        <f>IF(L296="","",6*AVERAGE($Q$7:Q296))</f>
        <v/>
      </c>
    </row>
    <row r="297" spans="6:18" x14ac:dyDescent="0.3">
      <c r="F297" t="str">
        <f>IF(A297="","",4*AVERAGE($E$7:E297))</f>
        <v/>
      </c>
      <c r="R297" t="str">
        <f>IF(L297="","",6*AVERAGE($Q$7:Q297))</f>
        <v/>
      </c>
    </row>
    <row r="298" spans="6:18" x14ac:dyDescent="0.3">
      <c r="F298" t="str">
        <f>IF(A298="","",4*AVERAGE($E$7:E298))</f>
        <v/>
      </c>
      <c r="R298" t="str">
        <f>IF(L298="","",6*AVERAGE($Q$7:Q298))</f>
        <v/>
      </c>
    </row>
    <row r="299" spans="6:18" x14ac:dyDescent="0.3">
      <c r="F299" t="str">
        <f>IF(A299="","",4*AVERAGE($E$7:E299))</f>
        <v/>
      </c>
      <c r="R299" t="str">
        <f>IF(L299="","",6*AVERAGE($Q$7:Q299))</f>
        <v/>
      </c>
    </row>
    <row r="300" spans="6:18" x14ac:dyDescent="0.3">
      <c r="F300" t="str">
        <f>IF(A300="","",4*AVERAGE($E$7:E300))</f>
        <v/>
      </c>
      <c r="R300" t="str">
        <f>IF(L300="","",6*AVERAGE($Q$7:Q300))</f>
        <v/>
      </c>
    </row>
    <row r="301" spans="6:18" x14ac:dyDescent="0.3">
      <c r="F301" t="str">
        <f>IF(A301="","",4*AVERAGE($E$7:E301))</f>
        <v/>
      </c>
      <c r="R301" t="str">
        <f>IF(L301="","",6*AVERAGE($Q$7:Q301))</f>
        <v/>
      </c>
    </row>
    <row r="302" spans="6:18" x14ac:dyDescent="0.3">
      <c r="F302" t="str">
        <f>IF(A302="","",4*AVERAGE($E$7:E302))</f>
        <v/>
      </c>
      <c r="R302" t="str">
        <f>IF(L302="","",6*AVERAGE($Q$7:Q302))</f>
        <v/>
      </c>
    </row>
    <row r="303" spans="6:18" x14ac:dyDescent="0.3">
      <c r="F303" t="str">
        <f>IF(A303="","",4*AVERAGE($E$7:E303))</f>
        <v/>
      </c>
      <c r="R303" t="str">
        <f>IF(L303="","",6*AVERAGE($Q$7:Q303))</f>
        <v/>
      </c>
    </row>
    <row r="304" spans="6:18" x14ac:dyDescent="0.3">
      <c r="F304" t="str">
        <f>IF(A304="","",4*AVERAGE($E$7:E304))</f>
        <v/>
      </c>
      <c r="R304" t="str">
        <f>IF(L304="","",6*AVERAGE($Q$7:Q304))</f>
        <v/>
      </c>
    </row>
    <row r="305" spans="6:18" x14ac:dyDescent="0.3">
      <c r="F305" t="str">
        <f>IF(A305="","",4*AVERAGE($E$7:E305))</f>
        <v/>
      </c>
      <c r="R305" t="str">
        <f>IF(L305="","",6*AVERAGE($Q$7:Q305))</f>
        <v/>
      </c>
    </row>
    <row r="306" spans="6:18" x14ac:dyDescent="0.3">
      <c r="F306" t="str">
        <f>IF(A306="","",4*AVERAGE($E$7:E306))</f>
        <v/>
      </c>
      <c r="R306" t="str">
        <f>IF(L306="","",6*AVERAGE($Q$7:Q306))</f>
        <v/>
      </c>
    </row>
    <row r="307" spans="6:18" x14ac:dyDescent="0.3">
      <c r="F307" t="str">
        <f>IF(A307="","",4*AVERAGE($E$7:E307))</f>
        <v/>
      </c>
      <c r="R307" t="str">
        <f>IF(L307="","",6*AVERAGE($Q$7:Q307))</f>
        <v/>
      </c>
    </row>
    <row r="308" spans="6:18" x14ac:dyDescent="0.3">
      <c r="F308" t="str">
        <f>IF(A308="","",4*AVERAGE($E$7:E308))</f>
        <v/>
      </c>
      <c r="R308" t="str">
        <f>IF(L308="","",6*AVERAGE($Q$7:Q308))</f>
        <v/>
      </c>
    </row>
    <row r="309" spans="6:18" x14ac:dyDescent="0.3">
      <c r="F309" t="str">
        <f>IF(A309="","",4*AVERAGE($E$7:E309))</f>
        <v/>
      </c>
      <c r="R309" t="str">
        <f>IF(L309="","",6*AVERAGE($Q$7:Q309))</f>
        <v/>
      </c>
    </row>
    <row r="310" spans="6:18" x14ac:dyDescent="0.3">
      <c r="F310" t="str">
        <f>IF(A310="","",4*AVERAGE($E$7:E310))</f>
        <v/>
      </c>
      <c r="R310" t="str">
        <f>IF(L310="","",6*AVERAGE($Q$7:Q310))</f>
        <v/>
      </c>
    </row>
    <row r="311" spans="6:18" x14ac:dyDescent="0.3">
      <c r="F311" t="str">
        <f>IF(A311="","",4*AVERAGE($E$7:E311))</f>
        <v/>
      </c>
      <c r="R311" t="str">
        <f>IF(L311="","",6*AVERAGE($Q$7:Q311))</f>
        <v/>
      </c>
    </row>
    <row r="312" spans="6:18" x14ac:dyDescent="0.3">
      <c r="F312" t="str">
        <f>IF(A312="","",4*AVERAGE($E$7:E312))</f>
        <v/>
      </c>
      <c r="R312" t="str">
        <f>IF(L312="","",6*AVERAGE($Q$7:Q312))</f>
        <v/>
      </c>
    </row>
    <row r="313" spans="6:18" x14ac:dyDescent="0.3">
      <c r="F313" t="str">
        <f>IF(A313="","",4*AVERAGE($E$7:E313))</f>
        <v/>
      </c>
      <c r="R313" t="str">
        <f>IF(L313="","",6*AVERAGE($Q$7:Q313))</f>
        <v/>
      </c>
    </row>
    <row r="314" spans="6:18" x14ac:dyDescent="0.3">
      <c r="F314" t="str">
        <f>IF(A314="","",4*AVERAGE($E$7:E314))</f>
        <v/>
      </c>
      <c r="R314" t="str">
        <f>IF(L314="","",6*AVERAGE($Q$7:Q314))</f>
        <v/>
      </c>
    </row>
    <row r="315" spans="6:18" x14ac:dyDescent="0.3">
      <c r="F315" t="str">
        <f>IF(A315="","",4*AVERAGE($E$7:E315))</f>
        <v/>
      </c>
      <c r="R315" t="str">
        <f>IF(L315="","",6*AVERAGE($Q$7:Q315))</f>
        <v/>
      </c>
    </row>
    <row r="316" spans="6:18" x14ac:dyDescent="0.3">
      <c r="F316" t="str">
        <f>IF(A316="","",4*AVERAGE($E$7:E316))</f>
        <v/>
      </c>
      <c r="R316" t="str">
        <f>IF(L316="","",6*AVERAGE($Q$7:Q316))</f>
        <v/>
      </c>
    </row>
    <row r="317" spans="6:18" x14ac:dyDescent="0.3">
      <c r="F317" t="str">
        <f>IF(A317="","",4*AVERAGE($E$7:E317))</f>
        <v/>
      </c>
      <c r="R317" t="str">
        <f>IF(L317="","",6*AVERAGE($Q$7:Q317))</f>
        <v/>
      </c>
    </row>
    <row r="318" spans="6:18" x14ac:dyDescent="0.3">
      <c r="F318" t="str">
        <f>IF(A318="","",4*AVERAGE($E$7:E318))</f>
        <v/>
      </c>
      <c r="R318" t="str">
        <f>IF(L318="","",6*AVERAGE($Q$7:Q318))</f>
        <v/>
      </c>
    </row>
    <row r="319" spans="6:18" x14ac:dyDescent="0.3">
      <c r="F319" t="str">
        <f>IF(A319="","",4*AVERAGE($E$7:E319))</f>
        <v/>
      </c>
      <c r="R319" t="str">
        <f>IF(L319="","",6*AVERAGE($Q$7:Q319))</f>
        <v/>
      </c>
    </row>
    <row r="320" spans="6:18" x14ac:dyDescent="0.3">
      <c r="F320" t="str">
        <f>IF(A320="","",4*AVERAGE($E$7:E320))</f>
        <v/>
      </c>
      <c r="R320" t="str">
        <f>IF(L320="","",6*AVERAGE($Q$7:Q320))</f>
        <v/>
      </c>
    </row>
    <row r="321" spans="6:18" x14ac:dyDescent="0.3">
      <c r="F321" t="str">
        <f>IF(A321="","",4*AVERAGE($E$7:E321))</f>
        <v/>
      </c>
      <c r="R321" t="str">
        <f>IF(L321="","",6*AVERAGE($Q$7:Q321))</f>
        <v/>
      </c>
    </row>
    <row r="322" spans="6:18" x14ac:dyDescent="0.3">
      <c r="F322" t="str">
        <f>IF(A322="","",4*AVERAGE($E$7:E322))</f>
        <v/>
      </c>
      <c r="R322" t="str">
        <f>IF(L322="","",6*AVERAGE($Q$7:Q322))</f>
        <v/>
      </c>
    </row>
    <row r="323" spans="6:18" x14ac:dyDescent="0.3">
      <c r="F323" t="str">
        <f>IF(A323="","",4*AVERAGE($E$7:E323))</f>
        <v/>
      </c>
      <c r="R323" t="str">
        <f>IF(L323="","",6*AVERAGE($Q$7:Q323))</f>
        <v/>
      </c>
    </row>
    <row r="324" spans="6:18" x14ac:dyDescent="0.3">
      <c r="F324" t="str">
        <f>IF(A324="","",4*AVERAGE($E$7:E324))</f>
        <v/>
      </c>
      <c r="R324" t="str">
        <f>IF(L324="","",6*AVERAGE($Q$7:Q324))</f>
        <v/>
      </c>
    </row>
    <row r="325" spans="6:18" x14ac:dyDescent="0.3">
      <c r="F325" t="str">
        <f>IF(A325="","",4*AVERAGE($E$7:E325))</f>
        <v/>
      </c>
      <c r="R325" t="str">
        <f>IF(L325="","",6*AVERAGE($Q$7:Q325))</f>
        <v/>
      </c>
    </row>
    <row r="326" spans="6:18" x14ac:dyDescent="0.3">
      <c r="F326" t="str">
        <f>IF(A326="","",4*AVERAGE($E$7:E326))</f>
        <v/>
      </c>
      <c r="R326" t="str">
        <f>IF(L326="","",6*AVERAGE($Q$7:Q326))</f>
        <v/>
      </c>
    </row>
    <row r="327" spans="6:18" x14ac:dyDescent="0.3">
      <c r="F327" t="str">
        <f>IF(A327="","",4*AVERAGE($E$7:E327))</f>
        <v/>
      </c>
      <c r="R327" t="str">
        <f>IF(L327="","",6*AVERAGE($Q$7:Q327))</f>
        <v/>
      </c>
    </row>
    <row r="328" spans="6:18" x14ac:dyDescent="0.3">
      <c r="F328" t="str">
        <f>IF(A328="","",4*AVERAGE($E$7:E328))</f>
        <v/>
      </c>
      <c r="R328" t="str">
        <f>IF(L328="","",6*AVERAGE($Q$7:Q328))</f>
        <v/>
      </c>
    </row>
    <row r="329" spans="6:18" x14ac:dyDescent="0.3">
      <c r="F329" t="str">
        <f>IF(A329="","",4*AVERAGE($E$7:E329))</f>
        <v/>
      </c>
      <c r="R329" t="str">
        <f>IF(L329="","",6*AVERAGE($Q$7:Q329))</f>
        <v/>
      </c>
    </row>
    <row r="330" spans="6:18" x14ac:dyDescent="0.3">
      <c r="F330" t="str">
        <f>IF(A330="","",4*AVERAGE($E$7:E330))</f>
        <v/>
      </c>
      <c r="R330" t="str">
        <f>IF(L330="","",6*AVERAGE($Q$7:Q330))</f>
        <v/>
      </c>
    </row>
    <row r="331" spans="6:18" x14ac:dyDescent="0.3">
      <c r="F331" t="str">
        <f>IF(A331="","",4*AVERAGE($E$7:E331))</f>
        <v/>
      </c>
      <c r="R331" t="str">
        <f>IF(L331="","",6*AVERAGE($Q$7:Q331))</f>
        <v/>
      </c>
    </row>
    <row r="332" spans="6:18" x14ac:dyDescent="0.3">
      <c r="F332" t="str">
        <f>IF(A332="","",4*AVERAGE($E$7:E332))</f>
        <v/>
      </c>
      <c r="R332" t="str">
        <f>IF(L332="","",6*AVERAGE($Q$7:Q332))</f>
        <v/>
      </c>
    </row>
    <row r="333" spans="6:18" x14ac:dyDescent="0.3">
      <c r="F333" t="str">
        <f>IF(A333="","",4*AVERAGE($E$7:E333))</f>
        <v/>
      </c>
      <c r="R333" t="str">
        <f>IF(L333="","",6*AVERAGE($Q$7:Q333))</f>
        <v/>
      </c>
    </row>
    <row r="334" spans="6:18" x14ac:dyDescent="0.3">
      <c r="F334" t="str">
        <f>IF(A334="","",4*AVERAGE($E$7:E334))</f>
        <v/>
      </c>
      <c r="R334" t="str">
        <f>IF(L334="","",6*AVERAGE($Q$7:Q334))</f>
        <v/>
      </c>
    </row>
    <row r="335" spans="6:18" x14ac:dyDescent="0.3">
      <c r="F335" t="str">
        <f>IF(A335="","",4*AVERAGE($E$7:E335))</f>
        <v/>
      </c>
      <c r="R335" t="str">
        <f>IF(L335="","",6*AVERAGE($Q$7:Q335))</f>
        <v/>
      </c>
    </row>
    <row r="336" spans="6:18" x14ac:dyDescent="0.3">
      <c r="F336" t="str">
        <f>IF(A336="","",4*AVERAGE($E$7:E336))</f>
        <v/>
      </c>
      <c r="R336" t="str">
        <f>IF(L336="","",6*AVERAGE($Q$7:Q336))</f>
        <v/>
      </c>
    </row>
    <row r="337" spans="6:18" x14ac:dyDescent="0.3">
      <c r="F337" t="str">
        <f>IF(A337="","",4*AVERAGE($E$7:E337))</f>
        <v/>
      </c>
      <c r="R337" t="str">
        <f>IF(L337="","",6*AVERAGE($Q$7:Q337))</f>
        <v/>
      </c>
    </row>
    <row r="338" spans="6:18" x14ac:dyDescent="0.3">
      <c r="F338" t="str">
        <f>IF(A338="","",4*AVERAGE($E$7:E338))</f>
        <v/>
      </c>
      <c r="R338" t="str">
        <f>IF(L338="","",6*AVERAGE($Q$7:Q338))</f>
        <v/>
      </c>
    </row>
    <row r="339" spans="6:18" x14ac:dyDescent="0.3">
      <c r="F339" t="str">
        <f>IF(A339="","",4*AVERAGE($E$7:E339))</f>
        <v/>
      </c>
      <c r="R339" t="str">
        <f>IF(L339="","",6*AVERAGE($Q$7:Q339))</f>
        <v/>
      </c>
    </row>
    <row r="340" spans="6:18" x14ac:dyDescent="0.3">
      <c r="F340" t="str">
        <f>IF(A340="","",4*AVERAGE($E$7:E340))</f>
        <v/>
      </c>
      <c r="R340" t="str">
        <f>IF(L340="","",6*AVERAGE($Q$7:Q340))</f>
        <v/>
      </c>
    </row>
    <row r="341" spans="6:18" x14ac:dyDescent="0.3">
      <c r="F341" t="str">
        <f>IF(A341="","",4*AVERAGE($E$7:E341))</f>
        <v/>
      </c>
      <c r="R341" t="str">
        <f>IF(L341="","",6*AVERAGE($Q$7:Q341))</f>
        <v/>
      </c>
    </row>
    <row r="342" spans="6:18" x14ac:dyDescent="0.3">
      <c r="F342" t="str">
        <f>IF(A342="","",4*AVERAGE($E$7:E342))</f>
        <v/>
      </c>
      <c r="R342" t="str">
        <f>IF(L342="","",6*AVERAGE($Q$7:Q342))</f>
        <v/>
      </c>
    </row>
    <row r="343" spans="6:18" x14ac:dyDescent="0.3">
      <c r="F343" t="str">
        <f>IF(A343="","",4*AVERAGE($E$7:E343))</f>
        <v/>
      </c>
      <c r="R343" t="str">
        <f>IF(L343="","",6*AVERAGE($Q$7:Q343))</f>
        <v/>
      </c>
    </row>
    <row r="344" spans="6:18" x14ac:dyDescent="0.3">
      <c r="F344" t="str">
        <f>IF(A344="","",4*AVERAGE($E$7:E344))</f>
        <v/>
      </c>
      <c r="R344" t="str">
        <f>IF(L344="","",6*AVERAGE($Q$7:Q344))</f>
        <v/>
      </c>
    </row>
    <row r="345" spans="6:18" x14ac:dyDescent="0.3">
      <c r="F345" t="str">
        <f>IF(A345="","",4*AVERAGE($E$7:E345))</f>
        <v/>
      </c>
      <c r="R345" t="str">
        <f>IF(L345="","",6*AVERAGE($Q$7:Q345))</f>
        <v/>
      </c>
    </row>
    <row r="346" spans="6:18" x14ac:dyDescent="0.3">
      <c r="F346" t="str">
        <f>IF(A346="","",4*AVERAGE($E$7:E346))</f>
        <v/>
      </c>
      <c r="R346" t="str">
        <f>IF(L346="","",6*AVERAGE($Q$7:Q346))</f>
        <v/>
      </c>
    </row>
    <row r="347" spans="6:18" x14ac:dyDescent="0.3">
      <c r="F347" t="str">
        <f>IF(A347="","",4*AVERAGE($E$7:E347))</f>
        <v/>
      </c>
      <c r="R347" t="str">
        <f>IF(L347="","",6*AVERAGE($Q$7:Q347))</f>
        <v/>
      </c>
    </row>
    <row r="348" spans="6:18" x14ac:dyDescent="0.3">
      <c r="F348" t="str">
        <f>IF(A348="","",4*AVERAGE($E$7:E348))</f>
        <v/>
      </c>
      <c r="R348" t="str">
        <f>IF(L348="","",6*AVERAGE($Q$7:Q348))</f>
        <v/>
      </c>
    </row>
    <row r="349" spans="6:18" x14ac:dyDescent="0.3">
      <c r="F349" t="str">
        <f>IF(A349="","",4*AVERAGE($E$7:E349))</f>
        <v/>
      </c>
      <c r="R349" t="str">
        <f>IF(L349="","",6*AVERAGE($Q$7:Q349))</f>
        <v/>
      </c>
    </row>
    <row r="350" spans="6:18" x14ac:dyDescent="0.3">
      <c r="F350" t="str">
        <f>IF(A350="","",4*AVERAGE($E$7:E350))</f>
        <v/>
      </c>
      <c r="R350" t="str">
        <f>IF(L350="","",6*AVERAGE($Q$7:Q350))</f>
        <v/>
      </c>
    </row>
    <row r="351" spans="6:18" x14ac:dyDescent="0.3">
      <c r="F351" t="str">
        <f>IF(A351="","",4*AVERAGE($E$7:E351))</f>
        <v/>
      </c>
      <c r="R351" t="str">
        <f>IF(L351="","",6*AVERAGE($Q$7:Q351))</f>
        <v/>
      </c>
    </row>
    <row r="352" spans="6:18" x14ac:dyDescent="0.3">
      <c r="F352" t="str">
        <f>IF(A352="","",4*AVERAGE($E$7:E352))</f>
        <v/>
      </c>
      <c r="R352" t="str">
        <f>IF(L352="","",6*AVERAGE($Q$7:Q352))</f>
        <v/>
      </c>
    </row>
    <row r="353" spans="6:18" x14ac:dyDescent="0.3">
      <c r="F353" t="str">
        <f>IF(A353="","",4*AVERAGE($E$7:E353))</f>
        <v/>
      </c>
      <c r="R353" t="str">
        <f>IF(L353="","",6*AVERAGE($Q$7:Q353))</f>
        <v/>
      </c>
    </row>
    <row r="354" spans="6:18" x14ac:dyDescent="0.3">
      <c r="F354" t="str">
        <f>IF(A354="","",4*AVERAGE($E$7:E354))</f>
        <v/>
      </c>
      <c r="R354" t="str">
        <f>IF(L354="","",6*AVERAGE($Q$7:Q354))</f>
        <v/>
      </c>
    </row>
    <row r="355" spans="6:18" x14ac:dyDescent="0.3">
      <c r="F355" t="str">
        <f>IF(A355="","",4*AVERAGE($E$7:E355))</f>
        <v/>
      </c>
      <c r="R355" t="str">
        <f>IF(L355="","",6*AVERAGE($Q$7:Q355))</f>
        <v/>
      </c>
    </row>
    <row r="356" spans="6:18" x14ac:dyDescent="0.3">
      <c r="F356" t="str">
        <f>IF(A356="","",4*AVERAGE($E$7:E356))</f>
        <v/>
      </c>
      <c r="R356" t="str">
        <f>IF(L356="","",6*AVERAGE($Q$7:Q356))</f>
        <v/>
      </c>
    </row>
    <row r="357" spans="6:18" x14ac:dyDescent="0.3">
      <c r="F357" t="str">
        <f>IF(A357="","",4*AVERAGE($E$7:E357))</f>
        <v/>
      </c>
      <c r="R357" t="str">
        <f>IF(L357="","",6*AVERAGE($Q$7:Q357))</f>
        <v/>
      </c>
    </row>
    <row r="358" spans="6:18" x14ac:dyDescent="0.3">
      <c r="F358" t="str">
        <f>IF(A358="","",4*AVERAGE($E$7:E358))</f>
        <v/>
      </c>
      <c r="R358" t="str">
        <f>IF(L358="","",6*AVERAGE($Q$7:Q358))</f>
        <v/>
      </c>
    </row>
    <row r="359" spans="6:18" x14ac:dyDescent="0.3">
      <c r="F359" t="str">
        <f>IF(A359="","",4*AVERAGE($E$7:E359))</f>
        <v/>
      </c>
      <c r="R359" t="str">
        <f>IF(L359="","",6*AVERAGE($Q$7:Q359))</f>
        <v/>
      </c>
    </row>
    <row r="360" spans="6:18" x14ac:dyDescent="0.3">
      <c r="F360" t="str">
        <f>IF(A360="","",4*AVERAGE($E$7:E360))</f>
        <v/>
      </c>
      <c r="R360" t="str">
        <f>IF(L360="","",6*AVERAGE($Q$7:Q360))</f>
        <v/>
      </c>
    </row>
    <row r="361" spans="6:18" x14ac:dyDescent="0.3">
      <c r="F361" t="str">
        <f>IF(A361="","",4*AVERAGE($E$7:E361))</f>
        <v/>
      </c>
      <c r="R361" t="str">
        <f>IF(L361="","",6*AVERAGE($Q$7:Q361))</f>
        <v/>
      </c>
    </row>
    <row r="362" spans="6:18" x14ac:dyDescent="0.3">
      <c r="F362" t="str">
        <f>IF(A362="","",4*AVERAGE($E$7:E362))</f>
        <v/>
      </c>
      <c r="R362" t="str">
        <f>IF(L362="","",6*AVERAGE($Q$7:Q362))</f>
        <v/>
      </c>
    </row>
    <row r="363" spans="6:18" x14ac:dyDescent="0.3">
      <c r="F363" t="str">
        <f>IF(A363="","",4*AVERAGE($E$7:E363))</f>
        <v/>
      </c>
      <c r="R363" t="str">
        <f>IF(L363="","",6*AVERAGE($Q$7:Q363))</f>
        <v/>
      </c>
    </row>
    <row r="364" spans="6:18" x14ac:dyDescent="0.3">
      <c r="F364" t="str">
        <f>IF(A364="","",4*AVERAGE($E$7:E364))</f>
        <v/>
      </c>
      <c r="R364" t="str">
        <f>IF(L364="","",6*AVERAGE($Q$7:Q364))</f>
        <v/>
      </c>
    </row>
    <row r="365" spans="6:18" x14ac:dyDescent="0.3">
      <c r="F365" t="str">
        <f>IF(A365="","",4*AVERAGE($E$7:E365))</f>
        <v/>
      </c>
      <c r="R365" t="str">
        <f>IF(L365="","",6*AVERAGE($Q$7:Q365))</f>
        <v/>
      </c>
    </row>
    <row r="366" spans="6:18" x14ac:dyDescent="0.3">
      <c r="F366" t="str">
        <f>IF(A366="","",4*AVERAGE($E$7:E366))</f>
        <v/>
      </c>
      <c r="R366" t="str">
        <f>IF(L366="","",6*AVERAGE($Q$7:Q366))</f>
        <v/>
      </c>
    </row>
    <row r="367" spans="6:18" x14ac:dyDescent="0.3">
      <c r="F367" t="str">
        <f>IF(A367="","",4*AVERAGE($E$7:E367))</f>
        <v/>
      </c>
      <c r="R367" t="str">
        <f>IF(L367="","",6*AVERAGE($Q$7:Q367))</f>
        <v/>
      </c>
    </row>
    <row r="368" spans="6:18" x14ac:dyDescent="0.3">
      <c r="F368" t="str">
        <f>IF(A368="","",4*AVERAGE($E$7:E368))</f>
        <v/>
      </c>
      <c r="R368" t="str">
        <f>IF(L368="","",6*AVERAGE($Q$7:Q368))</f>
        <v/>
      </c>
    </row>
    <row r="369" spans="6:18" x14ac:dyDescent="0.3">
      <c r="F369" t="str">
        <f>IF(A369="","",4*AVERAGE($E$7:E369))</f>
        <v/>
      </c>
      <c r="R369" t="str">
        <f>IF(L369="","",6*AVERAGE($Q$7:Q369))</f>
        <v/>
      </c>
    </row>
    <row r="370" spans="6:18" x14ac:dyDescent="0.3">
      <c r="F370" t="str">
        <f>IF(A370="","",4*AVERAGE($E$7:E370))</f>
        <v/>
      </c>
      <c r="R370" t="str">
        <f>IF(L370="","",6*AVERAGE($Q$7:Q370))</f>
        <v/>
      </c>
    </row>
    <row r="371" spans="6:18" x14ac:dyDescent="0.3">
      <c r="F371" t="str">
        <f>IF(A371="","",4*AVERAGE($E$7:E371))</f>
        <v/>
      </c>
      <c r="R371" t="str">
        <f>IF(L371="","",6*AVERAGE($Q$7:Q371))</f>
        <v/>
      </c>
    </row>
    <row r="372" spans="6:18" x14ac:dyDescent="0.3">
      <c r="F372" t="str">
        <f>IF(A372="","",4*AVERAGE($E$7:E372))</f>
        <v/>
      </c>
      <c r="R372" t="str">
        <f>IF(L372="","",6*AVERAGE($Q$7:Q372))</f>
        <v/>
      </c>
    </row>
    <row r="373" spans="6:18" x14ac:dyDescent="0.3">
      <c r="F373" t="str">
        <f>IF(A373="","",4*AVERAGE($E$7:E373))</f>
        <v/>
      </c>
      <c r="R373" t="str">
        <f>IF(L373="","",6*AVERAGE($Q$7:Q373))</f>
        <v/>
      </c>
    </row>
    <row r="374" spans="6:18" x14ac:dyDescent="0.3">
      <c r="F374" t="str">
        <f>IF(A374="","",4*AVERAGE($E$7:E374))</f>
        <v/>
      </c>
      <c r="R374" t="str">
        <f>IF(L374="","",6*AVERAGE($Q$7:Q374))</f>
        <v/>
      </c>
    </row>
    <row r="375" spans="6:18" x14ac:dyDescent="0.3">
      <c r="F375" t="str">
        <f>IF(A375="","",4*AVERAGE($E$7:E375))</f>
        <v/>
      </c>
      <c r="R375" t="str">
        <f>IF(L375="","",6*AVERAGE($Q$7:Q375))</f>
        <v/>
      </c>
    </row>
    <row r="376" spans="6:18" x14ac:dyDescent="0.3">
      <c r="F376" t="str">
        <f>IF(A376="","",4*AVERAGE($E$7:E376))</f>
        <v/>
      </c>
      <c r="R376" t="str">
        <f>IF(L376="","",6*AVERAGE($Q$7:Q376))</f>
        <v/>
      </c>
    </row>
    <row r="377" spans="6:18" x14ac:dyDescent="0.3">
      <c r="F377" t="str">
        <f>IF(A377="","",4*AVERAGE($E$7:E377))</f>
        <v/>
      </c>
      <c r="R377" t="str">
        <f>IF(L377="","",6*AVERAGE($Q$7:Q377))</f>
        <v/>
      </c>
    </row>
    <row r="378" spans="6:18" x14ac:dyDescent="0.3">
      <c r="F378" t="str">
        <f>IF(A378="","",4*AVERAGE($E$7:E378))</f>
        <v/>
      </c>
      <c r="R378" t="str">
        <f>IF(L378="","",6*AVERAGE($Q$7:Q378))</f>
        <v/>
      </c>
    </row>
    <row r="379" spans="6:18" x14ac:dyDescent="0.3">
      <c r="F379" t="str">
        <f>IF(A379="","",4*AVERAGE($E$7:E379))</f>
        <v/>
      </c>
      <c r="R379" t="str">
        <f>IF(L379="","",6*AVERAGE($Q$7:Q379))</f>
        <v/>
      </c>
    </row>
    <row r="380" spans="6:18" x14ac:dyDescent="0.3">
      <c r="F380" t="str">
        <f>IF(A380="","",4*AVERAGE($E$7:E380))</f>
        <v/>
      </c>
      <c r="R380" t="str">
        <f>IF(L380="","",6*AVERAGE($Q$7:Q380))</f>
        <v/>
      </c>
    </row>
    <row r="381" spans="6:18" x14ac:dyDescent="0.3">
      <c r="F381" t="str">
        <f>IF(A381="","",4*AVERAGE($E$7:E381))</f>
        <v/>
      </c>
      <c r="R381" t="str">
        <f>IF(L381="","",6*AVERAGE($Q$7:Q381))</f>
        <v/>
      </c>
    </row>
    <row r="382" spans="6:18" x14ac:dyDescent="0.3">
      <c r="F382" t="str">
        <f>IF(A382="","",4*AVERAGE($E$7:E382))</f>
        <v/>
      </c>
      <c r="R382" t="str">
        <f>IF(L382="","",6*AVERAGE($Q$7:Q382))</f>
        <v/>
      </c>
    </row>
    <row r="383" spans="6:18" x14ac:dyDescent="0.3">
      <c r="F383" t="str">
        <f>IF(A383="","",4*AVERAGE($E$7:E383))</f>
        <v/>
      </c>
      <c r="R383" t="str">
        <f>IF(L383="","",6*AVERAGE($Q$7:Q383))</f>
        <v/>
      </c>
    </row>
    <row r="384" spans="6:18" x14ac:dyDescent="0.3">
      <c r="F384" t="str">
        <f>IF(A384="","",4*AVERAGE($E$7:E384))</f>
        <v/>
      </c>
      <c r="R384" t="str">
        <f>IF(L384="","",6*AVERAGE($Q$7:Q384))</f>
        <v/>
      </c>
    </row>
    <row r="385" spans="6:18" x14ac:dyDescent="0.3">
      <c r="F385" t="str">
        <f>IF(A385="","",4*AVERAGE($E$7:E385))</f>
        <v/>
      </c>
      <c r="R385" t="str">
        <f>IF(L385="","",6*AVERAGE($Q$7:Q385))</f>
        <v/>
      </c>
    </row>
    <row r="386" spans="6:18" x14ac:dyDescent="0.3">
      <c r="F386" t="str">
        <f>IF(A386="","",4*AVERAGE($E$7:E386))</f>
        <v/>
      </c>
      <c r="R386" t="str">
        <f>IF(L386="","",6*AVERAGE($Q$7:Q386))</f>
        <v/>
      </c>
    </row>
    <row r="387" spans="6:18" x14ac:dyDescent="0.3">
      <c r="F387" t="str">
        <f>IF(A387="","",4*AVERAGE($E$7:E387))</f>
        <v/>
      </c>
      <c r="R387" t="str">
        <f>IF(L387="","",6*AVERAGE($Q$7:Q387))</f>
        <v/>
      </c>
    </row>
    <row r="388" spans="6:18" x14ac:dyDescent="0.3">
      <c r="F388" t="str">
        <f>IF(A388="","",4*AVERAGE($E$7:E388))</f>
        <v/>
      </c>
      <c r="R388" t="str">
        <f>IF(L388="","",6*AVERAGE($Q$7:Q388))</f>
        <v/>
      </c>
    </row>
    <row r="389" spans="6:18" x14ac:dyDescent="0.3">
      <c r="F389" t="str">
        <f>IF(A389="","",4*AVERAGE($E$7:E389))</f>
        <v/>
      </c>
      <c r="R389" t="str">
        <f>IF(L389="","",6*AVERAGE($Q$7:Q389))</f>
        <v/>
      </c>
    </row>
    <row r="390" spans="6:18" x14ac:dyDescent="0.3">
      <c r="F390" t="str">
        <f>IF(A390="","",4*AVERAGE($E$7:E390))</f>
        <v/>
      </c>
      <c r="R390" t="str">
        <f>IF(L390="","",6*AVERAGE($Q$7:Q390))</f>
        <v/>
      </c>
    </row>
    <row r="391" spans="6:18" x14ac:dyDescent="0.3">
      <c r="F391" t="str">
        <f>IF(A391="","",4*AVERAGE($E$7:E391))</f>
        <v/>
      </c>
      <c r="R391" t="str">
        <f>IF(L391="","",6*AVERAGE($Q$7:Q391))</f>
        <v/>
      </c>
    </row>
    <row r="392" spans="6:18" x14ac:dyDescent="0.3">
      <c r="F392" t="str">
        <f>IF(A392="","",4*AVERAGE($E$7:E392))</f>
        <v/>
      </c>
      <c r="R392" t="str">
        <f>IF(L392="","",6*AVERAGE($Q$7:Q392))</f>
        <v/>
      </c>
    </row>
    <row r="393" spans="6:18" x14ac:dyDescent="0.3">
      <c r="F393" t="str">
        <f>IF(A393="","",4*AVERAGE($E$7:E393))</f>
        <v/>
      </c>
      <c r="R393" t="str">
        <f>IF(L393="","",6*AVERAGE($Q$7:Q393))</f>
        <v/>
      </c>
    </row>
    <row r="394" spans="6:18" x14ac:dyDescent="0.3">
      <c r="F394" t="str">
        <f>IF(A394="","",4*AVERAGE($E$7:E394))</f>
        <v/>
      </c>
      <c r="R394" t="str">
        <f>IF(L394="","",6*AVERAGE($Q$7:Q394))</f>
        <v/>
      </c>
    </row>
    <row r="395" spans="6:18" x14ac:dyDescent="0.3">
      <c r="F395" t="str">
        <f>IF(A395="","",4*AVERAGE($E$7:E395))</f>
        <v/>
      </c>
      <c r="R395" t="str">
        <f>IF(L395="","",6*AVERAGE($Q$7:Q395))</f>
        <v/>
      </c>
    </row>
    <row r="396" spans="6:18" x14ac:dyDescent="0.3">
      <c r="F396" t="str">
        <f>IF(A396="","",4*AVERAGE($E$7:E396))</f>
        <v/>
      </c>
      <c r="R396" t="str">
        <f>IF(L396="","",6*AVERAGE($Q$7:Q396))</f>
        <v/>
      </c>
    </row>
    <row r="397" spans="6:18" x14ac:dyDescent="0.3">
      <c r="F397" t="str">
        <f>IF(A397="","",4*AVERAGE($E$7:E397))</f>
        <v/>
      </c>
      <c r="R397" t="str">
        <f>IF(L397="","",6*AVERAGE($Q$7:Q397))</f>
        <v/>
      </c>
    </row>
    <row r="398" spans="6:18" x14ac:dyDescent="0.3">
      <c r="F398" t="str">
        <f>IF(A398="","",4*AVERAGE($E$7:E398))</f>
        <v/>
      </c>
      <c r="R398" t="str">
        <f>IF(L398="","",6*AVERAGE($Q$7:Q398))</f>
        <v/>
      </c>
    </row>
    <row r="399" spans="6:18" x14ac:dyDescent="0.3">
      <c r="F399" t="str">
        <f>IF(A399="","",4*AVERAGE($E$7:E399))</f>
        <v/>
      </c>
      <c r="R399" t="str">
        <f>IF(L399="","",6*AVERAGE($Q$7:Q399))</f>
        <v/>
      </c>
    </row>
    <row r="400" spans="6:18" x14ac:dyDescent="0.3">
      <c r="F400" t="str">
        <f>IF(A400="","",4*AVERAGE($E$7:E400))</f>
        <v/>
      </c>
      <c r="R400" t="str">
        <f>IF(L400="","",6*AVERAGE($Q$7:Q400))</f>
        <v/>
      </c>
    </row>
    <row r="401" spans="6:18" x14ac:dyDescent="0.3">
      <c r="F401" t="str">
        <f>IF(A401="","",4*AVERAGE($E$7:E401))</f>
        <v/>
      </c>
      <c r="R401" t="str">
        <f>IF(L401="","",6*AVERAGE($Q$7:Q401))</f>
        <v/>
      </c>
    </row>
    <row r="402" spans="6:18" x14ac:dyDescent="0.3">
      <c r="F402" t="str">
        <f>IF(A402="","",4*AVERAGE($E$7:E402))</f>
        <v/>
      </c>
      <c r="R402" t="str">
        <f>IF(L402="","",6*AVERAGE($Q$7:Q402))</f>
        <v/>
      </c>
    </row>
    <row r="403" spans="6:18" x14ac:dyDescent="0.3">
      <c r="F403" t="str">
        <f>IF(A403="","",4*AVERAGE($E$7:E403))</f>
        <v/>
      </c>
      <c r="R403" t="str">
        <f>IF(L403="","",6*AVERAGE($Q$7:Q403))</f>
        <v/>
      </c>
    </row>
    <row r="404" spans="6:18" x14ac:dyDescent="0.3">
      <c r="F404" t="str">
        <f>IF(A404="","",4*AVERAGE($E$7:E404))</f>
        <v/>
      </c>
      <c r="R404" t="str">
        <f>IF(L404="","",6*AVERAGE($Q$7:Q404))</f>
        <v/>
      </c>
    </row>
    <row r="405" spans="6:18" x14ac:dyDescent="0.3">
      <c r="F405" t="str">
        <f>IF(A405="","",4*AVERAGE($E$7:E405))</f>
        <v/>
      </c>
      <c r="R405" t="str">
        <f>IF(L405="","",6*AVERAGE($Q$7:Q405))</f>
        <v/>
      </c>
    </row>
    <row r="406" spans="6:18" x14ac:dyDescent="0.3">
      <c r="F406" t="str">
        <f>IF(A406="","",4*AVERAGE($E$7:E406))</f>
        <v/>
      </c>
      <c r="R406" t="str">
        <f>IF(L406="","",6*AVERAGE($Q$7:Q406))</f>
        <v/>
      </c>
    </row>
    <row r="407" spans="6:18" x14ac:dyDescent="0.3">
      <c r="F407" t="str">
        <f>IF(A407="","",4*AVERAGE($E$7:E407))</f>
        <v/>
      </c>
      <c r="R407" t="str">
        <f>IF(L407="","",6*AVERAGE($Q$7:Q407))</f>
        <v/>
      </c>
    </row>
    <row r="408" spans="6:18" x14ac:dyDescent="0.3">
      <c r="F408" t="str">
        <f>IF(A408="","",4*AVERAGE($E$7:E408))</f>
        <v/>
      </c>
      <c r="R408" t="str">
        <f>IF(L408="","",6*AVERAGE($Q$7:Q408))</f>
        <v/>
      </c>
    </row>
    <row r="409" spans="6:18" x14ac:dyDescent="0.3">
      <c r="F409" t="str">
        <f>IF(A409="","",4*AVERAGE($E$7:E409))</f>
        <v/>
      </c>
      <c r="R409" t="str">
        <f>IF(L409="","",6*AVERAGE($Q$7:Q409))</f>
        <v/>
      </c>
    </row>
    <row r="410" spans="6:18" x14ac:dyDescent="0.3">
      <c r="F410" t="str">
        <f>IF(A410="","",4*AVERAGE($E$7:E410))</f>
        <v/>
      </c>
      <c r="R410" t="str">
        <f>IF(L410="","",6*AVERAGE($Q$7:Q410))</f>
        <v/>
      </c>
    </row>
    <row r="411" spans="6:18" x14ac:dyDescent="0.3">
      <c r="F411" t="str">
        <f>IF(A411="","",4*AVERAGE($E$7:E411))</f>
        <v/>
      </c>
      <c r="R411" t="str">
        <f>IF(L411="","",6*AVERAGE($Q$7:Q411))</f>
        <v/>
      </c>
    </row>
    <row r="412" spans="6:18" x14ac:dyDescent="0.3">
      <c r="F412" t="str">
        <f>IF(A412="","",4*AVERAGE($E$7:E412))</f>
        <v/>
      </c>
      <c r="R412" t="str">
        <f>IF(L412="","",6*AVERAGE($Q$7:Q412))</f>
        <v/>
      </c>
    </row>
    <row r="413" spans="6:18" x14ac:dyDescent="0.3">
      <c r="F413" t="str">
        <f>IF(A413="","",4*AVERAGE($E$7:E413))</f>
        <v/>
      </c>
      <c r="R413" t="str">
        <f>IF(L413="","",6*AVERAGE($Q$7:Q413))</f>
        <v/>
      </c>
    </row>
    <row r="414" spans="6:18" x14ac:dyDescent="0.3">
      <c r="F414" t="str">
        <f>IF(A414="","",4*AVERAGE($E$7:E414))</f>
        <v/>
      </c>
      <c r="R414" t="str">
        <f>IF(L414="","",6*AVERAGE($Q$7:Q414))</f>
        <v/>
      </c>
    </row>
    <row r="415" spans="6:18" x14ac:dyDescent="0.3">
      <c r="F415" t="str">
        <f>IF(A415="","",4*AVERAGE($E$7:E415))</f>
        <v/>
      </c>
      <c r="R415" t="str">
        <f>IF(L415="","",6*AVERAGE($Q$7:Q415))</f>
        <v/>
      </c>
    </row>
    <row r="416" spans="6:18" x14ac:dyDescent="0.3">
      <c r="F416" t="str">
        <f>IF(A416="","",4*AVERAGE($E$7:E416))</f>
        <v/>
      </c>
      <c r="R416" t="str">
        <f>IF(L416="","",6*AVERAGE($Q$7:Q416))</f>
        <v/>
      </c>
    </row>
    <row r="417" spans="6:18" x14ac:dyDescent="0.3">
      <c r="F417" t="str">
        <f>IF(A417="","",4*AVERAGE($E$7:E417))</f>
        <v/>
      </c>
      <c r="R417" t="str">
        <f>IF(L417="","",6*AVERAGE($Q$7:Q417))</f>
        <v/>
      </c>
    </row>
    <row r="418" spans="6:18" x14ac:dyDescent="0.3">
      <c r="F418" t="str">
        <f>IF(A418="","",4*AVERAGE($E$7:E418))</f>
        <v/>
      </c>
      <c r="R418" t="str">
        <f>IF(L418="","",6*AVERAGE($Q$7:Q418))</f>
        <v/>
      </c>
    </row>
    <row r="419" spans="6:18" x14ac:dyDescent="0.3">
      <c r="F419" t="str">
        <f>IF(A419="","",4*AVERAGE($E$7:E419))</f>
        <v/>
      </c>
      <c r="R419" t="str">
        <f>IF(L419="","",6*AVERAGE($Q$7:Q419))</f>
        <v/>
      </c>
    </row>
    <row r="420" spans="6:18" x14ac:dyDescent="0.3">
      <c r="F420" t="str">
        <f>IF(A420="","",4*AVERAGE($E$7:E420))</f>
        <v/>
      </c>
      <c r="R420" t="str">
        <f>IF(L420="","",6*AVERAGE($Q$7:Q420))</f>
        <v/>
      </c>
    </row>
    <row r="421" spans="6:18" x14ac:dyDescent="0.3">
      <c r="F421" t="str">
        <f>IF(A421="","",4*AVERAGE($E$7:E421))</f>
        <v/>
      </c>
      <c r="R421" t="str">
        <f>IF(L421="","",6*AVERAGE($Q$7:Q421))</f>
        <v/>
      </c>
    </row>
    <row r="422" spans="6:18" x14ac:dyDescent="0.3">
      <c r="F422" t="str">
        <f>IF(A422="","",4*AVERAGE($E$7:E422))</f>
        <v/>
      </c>
      <c r="R422" t="str">
        <f>IF(L422="","",6*AVERAGE($Q$7:Q422))</f>
        <v/>
      </c>
    </row>
    <row r="423" spans="6:18" x14ac:dyDescent="0.3">
      <c r="F423" t="str">
        <f>IF(A423="","",4*AVERAGE($E$7:E423))</f>
        <v/>
      </c>
      <c r="R423" t="str">
        <f>IF(L423="","",6*AVERAGE($Q$7:Q423))</f>
        <v/>
      </c>
    </row>
    <row r="424" spans="6:18" x14ac:dyDescent="0.3">
      <c r="F424" t="str">
        <f>IF(A424="","",4*AVERAGE($E$7:E424))</f>
        <v/>
      </c>
      <c r="R424" t="str">
        <f>IF(L424="","",6*AVERAGE($Q$7:Q424))</f>
        <v/>
      </c>
    </row>
    <row r="425" spans="6:18" x14ac:dyDescent="0.3">
      <c r="F425" t="str">
        <f>IF(A425="","",4*AVERAGE($E$7:E425))</f>
        <v/>
      </c>
      <c r="R425" t="str">
        <f>IF(L425="","",6*AVERAGE($Q$7:Q425))</f>
        <v/>
      </c>
    </row>
    <row r="426" spans="6:18" x14ac:dyDescent="0.3">
      <c r="F426" t="str">
        <f>IF(A426="","",4*AVERAGE($E$7:E426))</f>
        <v/>
      </c>
      <c r="R426" t="str">
        <f>IF(L426="","",6*AVERAGE($Q$7:Q426))</f>
        <v/>
      </c>
    </row>
    <row r="427" spans="6:18" x14ac:dyDescent="0.3">
      <c r="F427" t="str">
        <f>IF(A427="","",4*AVERAGE($E$7:E427))</f>
        <v/>
      </c>
      <c r="R427" t="str">
        <f>IF(L427="","",6*AVERAGE($Q$7:Q427))</f>
        <v/>
      </c>
    </row>
    <row r="428" spans="6:18" x14ac:dyDescent="0.3">
      <c r="F428" t="str">
        <f>IF(A428="","",4*AVERAGE($E$7:E428))</f>
        <v/>
      </c>
      <c r="R428" t="str">
        <f>IF(L428="","",6*AVERAGE($Q$7:Q428))</f>
        <v/>
      </c>
    </row>
    <row r="429" spans="6:18" x14ac:dyDescent="0.3">
      <c r="F429" t="str">
        <f>IF(A429="","",4*AVERAGE($E$7:E429))</f>
        <v/>
      </c>
      <c r="R429" t="str">
        <f>IF(L429="","",6*AVERAGE($Q$7:Q429))</f>
        <v/>
      </c>
    </row>
    <row r="430" spans="6:18" x14ac:dyDescent="0.3">
      <c r="F430" t="str">
        <f>IF(A430="","",4*AVERAGE($E$7:E430))</f>
        <v/>
      </c>
      <c r="R430" t="str">
        <f>IF(L430="","",6*AVERAGE($Q$7:Q430))</f>
        <v/>
      </c>
    </row>
    <row r="431" spans="6:18" x14ac:dyDescent="0.3">
      <c r="F431" t="str">
        <f>IF(A431="","",4*AVERAGE($E$7:E431))</f>
        <v/>
      </c>
      <c r="R431" t="str">
        <f>IF(L431="","",6*AVERAGE($Q$7:Q431))</f>
        <v/>
      </c>
    </row>
    <row r="432" spans="6:18" x14ac:dyDescent="0.3">
      <c r="F432" t="str">
        <f>IF(A432="","",4*AVERAGE($E$7:E432))</f>
        <v/>
      </c>
      <c r="R432" t="str">
        <f>IF(L432="","",6*AVERAGE($Q$7:Q432))</f>
        <v/>
      </c>
    </row>
    <row r="433" spans="6:18" x14ac:dyDescent="0.3">
      <c r="F433" t="str">
        <f>IF(A433="","",4*AVERAGE($E$7:E433))</f>
        <v/>
      </c>
      <c r="R433" t="str">
        <f>IF(L433="","",6*AVERAGE($Q$7:Q433))</f>
        <v/>
      </c>
    </row>
    <row r="434" spans="6:18" x14ac:dyDescent="0.3">
      <c r="F434" t="str">
        <f>IF(A434="","",4*AVERAGE($E$7:E434))</f>
        <v/>
      </c>
      <c r="R434" t="str">
        <f>IF(L434="","",6*AVERAGE($Q$7:Q434))</f>
        <v/>
      </c>
    </row>
    <row r="435" spans="6:18" x14ac:dyDescent="0.3">
      <c r="F435" t="str">
        <f>IF(A435="","",4*AVERAGE($E$7:E435))</f>
        <v/>
      </c>
      <c r="R435" t="str">
        <f>IF(L435="","",6*AVERAGE($Q$7:Q435))</f>
        <v/>
      </c>
    </row>
    <row r="436" spans="6:18" x14ac:dyDescent="0.3">
      <c r="F436" t="str">
        <f>IF(A436="","",4*AVERAGE($E$7:E436))</f>
        <v/>
      </c>
      <c r="R436" t="str">
        <f>IF(L436="","",6*AVERAGE($Q$7:Q436))</f>
        <v/>
      </c>
    </row>
    <row r="437" spans="6:18" x14ac:dyDescent="0.3">
      <c r="F437" t="str">
        <f>IF(A437="","",4*AVERAGE($E$7:E437))</f>
        <v/>
      </c>
      <c r="R437" t="str">
        <f>IF(L437="","",6*AVERAGE($Q$7:Q437))</f>
        <v/>
      </c>
    </row>
    <row r="438" spans="6:18" x14ac:dyDescent="0.3">
      <c r="F438" t="str">
        <f>IF(A438="","",4*AVERAGE($E$7:E438))</f>
        <v/>
      </c>
      <c r="R438" t="str">
        <f>IF(L438="","",6*AVERAGE($Q$7:Q438))</f>
        <v/>
      </c>
    </row>
    <row r="439" spans="6:18" x14ac:dyDescent="0.3">
      <c r="F439" t="str">
        <f>IF(A439="","",4*AVERAGE($E$7:E439))</f>
        <v/>
      </c>
      <c r="R439" t="str">
        <f>IF(L439="","",6*AVERAGE($Q$7:Q439))</f>
        <v/>
      </c>
    </row>
    <row r="440" spans="6:18" x14ac:dyDescent="0.3">
      <c r="F440" t="str">
        <f>IF(A440="","",4*AVERAGE($E$7:E440))</f>
        <v/>
      </c>
      <c r="R440" t="str">
        <f>IF(L440="","",6*AVERAGE($Q$7:Q440))</f>
        <v/>
      </c>
    </row>
    <row r="441" spans="6:18" x14ac:dyDescent="0.3">
      <c r="F441" t="str">
        <f>IF(A441="","",4*AVERAGE($E$7:E441))</f>
        <v/>
      </c>
      <c r="R441" t="str">
        <f>IF(L441="","",6*AVERAGE($Q$7:Q441))</f>
        <v/>
      </c>
    </row>
    <row r="442" spans="6:18" x14ac:dyDescent="0.3">
      <c r="F442" t="str">
        <f>IF(A442="","",4*AVERAGE($E$7:E442))</f>
        <v/>
      </c>
      <c r="R442" t="str">
        <f>IF(L442="","",6*AVERAGE($Q$7:Q442))</f>
        <v/>
      </c>
    </row>
    <row r="443" spans="6:18" x14ac:dyDescent="0.3">
      <c r="F443" t="str">
        <f>IF(A443="","",4*AVERAGE($E$7:E443))</f>
        <v/>
      </c>
      <c r="R443" t="str">
        <f>IF(L443="","",6*AVERAGE($Q$7:Q443))</f>
        <v/>
      </c>
    </row>
    <row r="444" spans="6:18" x14ac:dyDescent="0.3">
      <c r="F444" t="str">
        <f>IF(A444="","",4*AVERAGE($E$7:E444))</f>
        <v/>
      </c>
      <c r="R444" t="str">
        <f>IF(L444="","",6*AVERAGE($Q$7:Q444))</f>
        <v/>
      </c>
    </row>
    <row r="445" spans="6:18" x14ac:dyDescent="0.3">
      <c r="F445" t="str">
        <f>IF(A445="","",4*AVERAGE($E$7:E445))</f>
        <v/>
      </c>
      <c r="R445" t="str">
        <f>IF(L445="","",6*AVERAGE($Q$7:Q445))</f>
        <v/>
      </c>
    </row>
    <row r="446" spans="6:18" x14ac:dyDescent="0.3">
      <c r="F446" t="str">
        <f>IF(A446="","",4*AVERAGE($E$7:E446))</f>
        <v/>
      </c>
      <c r="R446" t="str">
        <f>IF(L446="","",6*AVERAGE($Q$7:Q446))</f>
        <v/>
      </c>
    </row>
    <row r="447" spans="6:18" x14ac:dyDescent="0.3">
      <c r="F447" t="str">
        <f>IF(A447="","",4*AVERAGE($E$7:E447))</f>
        <v/>
      </c>
      <c r="R447" t="str">
        <f>IF(L447="","",6*AVERAGE($Q$7:Q447))</f>
        <v/>
      </c>
    </row>
    <row r="448" spans="6:18" x14ac:dyDescent="0.3">
      <c r="F448" t="str">
        <f>IF(A448="","",4*AVERAGE($E$7:E448))</f>
        <v/>
      </c>
      <c r="R448" t="str">
        <f>IF(L448="","",6*AVERAGE($Q$7:Q448))</f>
        <v/>
      </c>
    </row>
    <row r="449" spans="6:18" x14ac:dyDescent="0.3">
      <c r="F449" t="str">
        <f>IF(A449="","",4*AVERAGE($E$7:E449))</f>
        <v/>
      </c>
      <c r="R449" t="str">
        <f>IF(L449="","",6*AVERAGE($Q$7:Q449))</f>
        <v/>
      </c>
    </row>
    <row r="450" spans="6:18" x14ac:dyDescent="0.3">
      <c r="F450" t="str">
        <f>IF(A450="","",4*AVERAGE($E$7:E450))</f>
        <v/>
      </c>
      <c r="R450" t="str">
        <f>IF(L450="","",6*AVERAGE($Q$7:Q450))</f>
        <v/>
      </c>
    </row>
    <row r="451" spans="6:18" x14ac:dyDescent="0.3">
      <c r="F451" t="str">
        <f>IF(A451="","",4*AVERAGE($E$7:E451))</f>
        <v/>
      </c>
      <c r="R451" t="str">
        <f>IF(L451="","",6*AVERAGE($Q$7:Q451))</f>
        <v/>
      </c>
    </row>
    <row r="452" spans="6:18" x14ac:dyDescent="0.3">
      <c r="F452" t="str">
        <f>IF(A452="","",4*AVERAGE($E$7:E452))</f>
        <v/>
      </c>
      <c r="R452" t="str">
        <f>IF(L452="","",6*AVERAGE($Q$7:Q452))</f>
        <v/>
      </c>
    </row>
    <row r="453" spans="6:18" x14ac:dyDescent="0.3">
      <c r="F453" t="str">
        <f>IF(A453="","",4*AVERAGE($E$7:E453))</f>
        <v/>
      </c>
      <c r="R453" t="str">
        <f>IF(L453="","",6*AVERAGE($Q$7:Q453))</f>
        <v/>
      </c>
    </row>
    <row r="454" spans="6:18" x14ac:dyDescent="0.3">
      <c r="F454" t="str">
        <f>IF(A454="","",4*AVERAGE($E$7:E454))</f>
        <v/>
      </c>
      <c r="R454" t="str">
        <f>IF(L454="","",6*AVERAGE($Q$7:Q454))</f>
        <v/>
      </c>
    </row>
    <row r="455" spans="6:18" x14ac:dyDescent="0.3">
      <c r="F455" t="str">
        <f>IF(A455="","",4*AVERAGE($E$7:E455))</f>
        <v/>
      </c>
      <c r="R455" t="str">
        <f>IF(L455="","",6*AVERAGE($Q$7:Q455))</f>
        <v/>
      </c>
    </row>
    <row r="456" spans="6:18" x14ac:dyDescent="0.3">
      <c r="F456" t="str">
        <f>IF(A456="","",4*AVERAGE($E$7:E456))</f>
        <v/>
      </c>
      <c r="R456" t="str">
        <f>IF(L456="","",6*AVERAGE($Q$7:Q456))</f>
        <v/>
      </c>
    </row>
    <row r="457" spans="6:18" x14ac:dyDescent="0.3">
      <c r="F457" t="str">
        <f>IF(A457="","",4*AVERAGE($E$7:E457))</f>
        <v/>
      </c>
      <c r="R457" t="str">
        <f>IF(L457="","",6*AVERAGE($Q$7:Q457))</f>
        <v/>
      </c>
    </row>
    <row r="458" spans="6:18" x14ac:dyDescent="0.3">
      <c r="F458" t="str">
        <f>IF(A458="","",4*AVERAGE($E$7:E458))</f>
        <v/>
      </c>
      <c r="R458" t="str">
        <f>IF(L458="","",6*AVERAGE($Q$7:Q458))</f>
        <v/>
      </c>
    </row>
    <row r="459" spans="6:18" x14ac:dyDescent="0.3">
      <c r="F459" t="str">
        <f>IF(A459="","",4*AVERAGE($E$7:E459))</f>
        <v/>
      </c>
      <c r="R459" t="str">
        <f>IF(L459="","",6*AVERAGE($Q$7:Q459))</f>
        <v/>
      </c>
    </row>
    <row r="460" spans="6:18" x14ac:dyDescent="0.3">
      <c r="F460" t="str">
        <f>IF(A460="","",4*AVERAGE($E$7:E460))</f>
        <v/>
      </c>
      <c r="R460" t="str">
        <f>IF(L460="","",6*AVERAGE($Q$7:Q460))</f>
        <v/>
      </c>
    </row>
    <row r="461" spans="6:18" x14ac:dyDescent="0.3">
      <c r="F461" t="str">
        <f>IF(A461="","",4*AVERAGE($E$7:E461))</f>
        <v/>
      </c>
      <c r="R461" t="str">
        <f>IF(L461="","",6*AVERAGE($Q$7:Q461))</f>
        <v/>
      </c>
    </row>
    <row r="462" spans="6:18" x14ac:dyDescent="0.3">
      <c r="F462" t="str">
        <f>IF(A462="","",4*AVERAGE($E$7:E462))</f>
        <v/>
      </c>
      <c r="R462" t="str">
        <f>IF(L462="","",6*AVERAGE($Q$7:Q462))</f>
        <v/>
      </c>
    </row>
    <row r="463" spans="6:18" x14ac:dyDescent="0.3">
      <c r="F463" t="str">
        <f>IF(A463="","",4*AVERAGE($E$7:E463))</f>
        <v/>
      </c>
      <c r="R463" t="str">
        <f>IF(L463="","",6*AVERAGE($Q$7:Q463))</f>
        <v/>
      </c>
    </row>
    <row r="464" spans="6:18" x14ac:dyDescent="0.3">
      <c r="F464" t="str">
        <f>IF(A464="","",4*AVERAGE($E$7:E464))</f>
        <v/>
      </c>
      <c r="R464" t="str">
        <f>IF(L464="","",6*AVERAGE($Q$7:Q464))</f>
        <v/>
      </c>
    </row>
    <row r="465" spans="6:18" x14ac:dyDescent="0.3">
      <c r="F465" t="str">
        <f>IF(A465="","",4*AVERAGE($E$7:E465))</f>
        <v/>
      </c>
      <c r="R465" t="str">
        <f>IF(L465="","",6*AVERAGE($Q$7:Q465))</f>
        <v/>
      </c>
    </row>
    <row r="466" spans="6:18" x14ac:dyDescent="0.3">
      <c r="F466" t="str">
        <f>IF(A466="","",4*AVERAGE($E$7:E466))</f>
        <v/>
      </c>
      <c r="R466" t="str">
        <f>IF(L466="","",6*AVERAGE($Q$7:Q466))</f>
        <v/>
      </c>
    </row>
    <row r="467" spans="6:18" x14ac:dyDescent="0.3">
      <c r="F467" t="str">
        <f>IF(A467="","",4*AVERAGE($E$7:E467))</f>
        <v/>
      </c>
      <c r="R467" t="str">
        <f>IF(L467="","",6*AVERAGE($Q$7:Q467))</f>
        <v/>
      </c>
    </row>
    <row r="468" spans="6:18" x14ac:dyDescent="0.3">
      <c r="F468" t="str">
        <f>IF(A468="","",4*AVERAGE($E$7:E468))</f>
        <v/>
      </c>
      <c r="R468" t="str">
        <f>IF(L468="","",6*AVERAGE($Q$7:Q468))</f>
        <v/>
      </c>
    </row>
    <row r="469" spans="6:18" x14ac:dyDescent="0.3">
      <c r="F469" t="str">
        <f>IF(A469="","",4*AVERAGE($E$7:E469))</f>
        <v/>
      </c>
      <c r="R469" t="str">
        <f>IF(L469="","",6*AVERAGE($Q$7:Q469))</f>
        <v/>
      </c>
    </row>
    <row r="470" spans="6:18" x14ac:dyDescent="0.3">
      <c r="F470" t="str">
        <f>IF(A470="","",4*AVERAGE($E$7:E470))</f>
        <v/>
      </c>
      <c r="R470" t="str">
        <f>IF(L470="","",6*AVERAGE($Q$7:Q470))</f>
        <v/>
      </c>
    </row>
    <row r="471" spans="6:18" x14ac:dyDescent="0.3">
      <c r="F471" t="str">
        <f>IF(A471="","",4*AVERAGE($E$7:E471))</f>
        <v/>
      </c>
      <c r="R471" t="str">
        <f>IF(L471="","",6*AVERAGE($Q$7:Q471))</f>
        <v/>
      </c>
    </row>
    <row r="472" spans="6:18" x14ac:dyDescent="0.3">
      <c r="F472" t="str">
        <f>IF(A472="","",4*AVERAGE($E$7:E472))</f>
        <v/>
      </c>
      <c r="R472" t="str">
        <f>IF(L472="","",6*AVERAGE($Q$7:Q472))</f>
        <v/>
      </c>
    </row>
    <row r="473" spans="6:18" x14ac:dyDescent="0.3">
      <c r="F473" t="str">
        <f>IF(A473="","",4*AVERAGE($E$7:E473))</f>
        <v/>
      </c>
      <c r="R473" t="str">
        <f>IF(L473="","",6*AVERAGE($Q$7:Q473))</f>
        <v/>
      </c>
    </row>
    <row r="474" spans="6:18" x14ac:dyDescent="0.3">
      <c r="F474" t="str">
        <f>IF(A474="","",4*AVERAGE($E$7:E474))</f>
        <v/>
      </c>
      <c r="R474" t="str">
        <f>IF(L474="","",6*AVERAGE($Q$7:Q474))</f>
        <v/>
      </c>
    </row>
    <row r="475" spans="6:18" x14ac:dyDescent="0.3">
      <c r="F475" t="str">
        <f>IF(A475="","",4*AVERAGE($E$7:E475))</f>
        <v/>
      </c>
      <c r="R475" t="str">
        <f>IF(L475="","",6*AVERAGE($Q$7:Q475))</f>
        <v/>
      </c>
    </row>
    <row r="476" spans="6:18" x14ac:dyDescent="0.3">
      <c r="F476" t="str">
        <f>IF(A476="","",4*AVERAGE($E$7:E476))</f>
        <v/>
      </c>
      <c r="R476" t="str">
        <f>IF(L476="","",6*AVERAGE($Q$7:Q476))</f>
        <v/>
      </c>
    </row>
    <row r="477" spans="6:18" x14ac:dyDescent="0.3">
      <c r="F477" t="str">
        <f>IF(A477="","",4*AVERAGE($E$7:E477))</f>
        <v/>
      </c>
      <c r="R477" t="str">
        <f>IF(L477="","",6*AVERAGE($Q$7:Q477))</f>
        <v/>
      </c>
    </row>
    <row r="478" spans="6:18" x14ac:dyDescent="0.3">
      <c r="F478" t="str">
        <f>IF(A478="","",4*AVERAGE($E$7:E478))</f>
        <v/>
      </c>
      <c r="R478" t="str">
        <f>IF(L478="","",6*AVERAGE($Q$7:Q478))</f>
        <v/>
      </c>
    </row>
    <row r="479" spans="6:18" x14ac:dyDescent="0.3">
      <c r="F479" t="str">
        <f>IF(A479="","",4*AVERAGE($E$7:E479))</f>
        <v/>
      </c>
      <c r="R479" t="str">
        <f>IF(L479="","",6*AVERAGE($Q$7:Q479))</f>
        <v/>
      </c>
    </row>
    <row r="480" spans="6:18" x14ac:dyDescent="0.3">
      <c r="F480" t="str">
        <f>IF(A480="","",4*AVERAGE($E$7:E480))</f>
        <v/>
      </c>
      <c r="R480" t="str">
        <f>IF(L480="","",6*AVERAGE($Q$7:Q480))</f>
        <v/>
      </c>
    </row>
    <row r="481" spans="6:18" x14ac:dyDescent="0.3">
      <c r="F481" t="str">
        <f>IF(A481="","",4*AVERAGE($E$7:E481))</f>
        <v/>
      </c>
      <c r="R481" t="str">
        <f>IF(L481="","",6*AVERAGE($Q$7:Q481))</f>
        <v/>
      </c>
    </row>
    <row r="482" spans="6:18" x14ac:dyDescent="0.3">
      <c r="F482" t="str">
        <f>IF(A482="","",4*AVERAGE($E$7:E482))</f>
        <v/>
      </c>
      <c r="R482" t="str">
        <f>IF(L482="","",6*AVERAGE($Q$7:Q482))</f>
        <v/>
      </c>
    </row>
    <row r="483" spans="6:18" x14ac:dyDescent="0.3">
      <c r="F483" t="str">
        <f>IF(A483="","",4*AVERAGE($E$7:E483))</f>
        <v/>
      </c>
      <c r="R483" t="str">
        <f>IF(L483="","",6*AVERAGE($Q$7:Q483))</f>
        <v/>
      </c>
    </row>
    <row r="484" spans="6:18" x14ac:dyDescent="0.3">
      <c r="F484" t="str">
        <f>IF(A484="","",4*AVERAGE($E$7:E484))</f>
        <v/>
      </c>
      <c r="R484" t="str">
        <f>IF(L484="","",6*AVERAGE($Q$7:Q484))</f>
        <v/>
      </c>
    </row>
    <row r="485" spans="6:18" x14ac:dyDescent="0.3">
      <c r="F485" t="str">
        <f>IF(A485="","",4*AVERAGE($E$7:E485))</f>
        <v/>
      </c>
      <c r="R485" t="str">
        <f>IF(L485="","",6*AVERAGE($Q$7:Q485))</f>
        <v/>
      </c>
    </row>
    <row r="486" spans="6:18" x14ac:dyDescent="0.3">
      <c r="F486" t="str">
        <f>IF(A486="","",4*AVERAGE($E$7:E486))</f>
        <v/>
      </c>
      <c r="R486" t="str">
        <f>IF(L486="","",6*AVERAGE($Q$7:Q486))</f>
        <v/>
      </c>
    </row>
    <row r="487" spans="6:18" x14ac:dyDescent="0.3">
      <c r="F487" t="str">
        <f>IF(A487="","",4*AVERAGE($E$7:E487))</f>
        <v/>
      </c>
      <c r="R487" t="str">
        <f>IF(L487="","",6*AVERAGE($Q$7:Q487))</f>
        <v/>
      </c>
    </row>
    <row r="488" spans="6:18" x14ac:dyDescent="0.3">
      <c r="F488" t="str">
        <f>IF(A488="","",4*AVERAGE($E$7:E488))</f>
        <v/>
      </c>
      <c r="R488" t="str">
        <f>IF(L488="","",6*AVERAGE($Q$7:Q488))</f>
        <v/>
      </c>
    </row>
    <row r="489" spans="6:18" x14ac:dyDescent="0.3">
      <c r="F489" t="str">
        <f>IF(A489="","",4*AVERAGE($E$7:E489))</f>
        <v/>
      </c>
      <c r="R489" t="str">
        <f>IF(L489="","",6*AVERAGE($Q$7:Q489))</f>
        <v/>
      </c>
    </row>
    <row r="490" spans="6:18" x14ac:dyDescent="0.3">
      <c r="F490" t="str">
        <f>IF(A490="","",4*AVERAGE($E$7:E490))</f>
        <v/>
      </c>
      <c r="R490" t="str">
        <f>IF(L490="","",6*AVERAGE($Q$7:Q490))</f>
        <v/>
      </c>
    </row>
    <row r="491" spans="6:18" x14ac:dyDescent="0.3">
      <c r="F491" t="str">
        <f>IF(A491="","",4*AVERAGE($E$7:E491))</f>
        <v/>
      </c>
      <c r="R491" t="str">
        <f>IF(L491="","",6*AVERAGE($Q$7:Q491))</f>
        <v/>
      </c>
    </row>
    <row r="492" spans="6:18" x14ac:dyDescent="0.3">
      <c r="F492" t="str">
        <f>IF(A492="","",4*AVERAGE($E$7:E492))</f>
        <v/>
      </c>
      <c r="R492" t="str">
        <f>IF(L492="","",6*AVERAGE($Q$7:Q492))</f>
        <v/>
      </c>
    </row>
    <row r="493" spans="6:18" x14ac:dyDescent="0.3">
      <c r="F493" t="str">
        <f>IF(A493="","",4*AVERAGE($E$7:E493))</f>
        <v/>
      </c>
      <c r="R493" t="str">
        <f>IF(L493="","",6*AVERAGE($Q$7:Q493))</f>
        <v/>
      </c>
    </row>
    <row r="494" spans="6:18" x14ac:dyDescent="0.3">
      <c r="F494" t="str">
        <f>IF(A494="","",4*AVERAGE($E$7:E494))</f>
        <v/>
      </c>
      <c r="R494" t="str">
        <f>IF(L494="","",6*AVERAGE($Q$7:Q494))</f>
        <v/>
      </c>
    </row>
    <row r="495" spans="6:18" x14ac:dyDescent="0.3">
      <c r="F495" t="str">
        <f>IF(A495="","",4*AVERAGE($E$7:E495))</f>
        <v/>
      </c>
      <c r="R495" t="str">
        <f>IF(L495="","",6*AVERAGE($Q$7:Q495))</f>
        <v/>
      </c>
    </row>
    <row r="496" spans="6:18" x14ac:dyDescent="0.3">
      <c r="F496" t="str">
        <f>IF(A496="","",4*AVERAGE($E$7:E496))</f>
        <v/>
      </c>
      <c r="R496" t="str">
        <f>IF(L496="","",6*AVERAGE($Q$7:Q496))</f>
        <v/>
      </c>
    </row>
    <row r="497" spans="6:18" x14ac:dyDescent="0.3">
      <c r="F497" t="str">
        <f>IF(A497="","",4*AVERAGE($E$7:E497))</f>
        <v/>
      </c>
      <c r="R497" t="str">
        <f>IF(L497="","",6*AVERAGE($Q$7:Q497))</f>
        <v/>
      </c>
    </row>
    <row r="498" spans="6:18" x14ac:dyDescent="0.3">
      <c r="F498" t="str">
        <f>IF(A498="","",4*AVERAGE($E$7:E498))</f>
        <v/>
      </c>
      <c r="R498" t="str">
        <f>IF(L498="","",6*AVERAGE($Q$7:Q498))</f>
        <v/>
      </c>
    </row>
    <row r="499" spans="6:18" x14ac:dyDescent="0.3">
      <c r="F499" t="str">
        <f>IF(A499="","",4*AVERAGE($E$7:E499))</f>
        <v/>
      </c>
      <c r="R499" t="str">
        <f>IF(L499="","",6*AVERAGE($Q$7:Q499))</f>
        <v/>
      </c>
    </row>
    <row r="500" spans="6:18" x14ac:dyDescent="0.3">
      <c r="F500" t="str">
        <f>IF(A500="","",4*AVERAGE($E$7:E500))</f>
        <v/>
      </c>
      <c r="R500" t="str">
        <f>IF(L500="","",6*AVERAGE($Q$7:Q500))</f>
        <v/>
      </c>
    </row>
    <row r="501" spans="6:18" x14ac:dyDescent="0.3">
      <c r="F501" t="str">
        <f>IF(A501="","",4*AVERAGE($E$7:E501))</f>
        <v/>
      </c>
      <c r="R501" t="str">
        <f>IF(L501="","",6*AVERAGE($Q$7:Q501))</f>
        <v/>
      </c>
    </row>
    <row r="502" spans="6:18" x14ac:dyDescent="0.3">
      <c r="F502" t="str">
        <f>IF(A502="","",4*AVERAGE($E$7:E502))</f>
        <v/>
      </c>
      <c r="R502" t="str">
        <f>IF(L502="","",6*AVERAGE($Q$7:Q502))</f>
        <v/>
      </c>
    </row>
    <row r="503" spans="6:18" x14ac:dyDescent="0.3">
      <c r="F503" t="str">
        <f>IF(A503="","",4*AVERAGE($E$7:E503))</f>
        <v/>
      </c>
      <c r="R503" t="str">
        <f>IF(L503="","",6*AVERAGE($Q$7:Q503))</f>
        <v/>
      </c>
    </row>
    <row r="504" spans="6:18" x14ac:dyDescent="0.3">
      <c r="F504" t="str">
        <f>IF(A504="","",4*AVERAGE($E$7:E504))</f>
        <v/>
      </c>
      <c r="R504" t="str">
        <f>IF(L504="","",6*AVERAGE($Q$7:Q504))</f>
        <v/>
      </c>
    </row>
    <row r="505" spans="6:18" x14ac:dyDescent="0.3">
      <c r="F505" t="str">
        <f>IF(A505="","",4*AVERAGE($E$7:E505))</f>
        <v/>
      </c>
      <c r="R505" t="str">
        <f>IF(L505="","",6*AVERAGE($Q$7:Q505))</f>
        <v/>
      </c>
    </row>
    <row r="506" spans="6:18" x14ac:dyDescent="0.3">
      <c r="F506" t="str">
        <f>IF(A506="","",4*AVERAGE($E$7:E506))</f>
        <v/>
      </c>
      <c r="R506" t="str">
        <f>IF(L506="","",6*AVERAGE($Q$7:Q506))</f>
        <v/>
      </c>
    </row>
    <row r="507" spans="6:18" x14ac:dyDescent="0.3">
      <c r="F507" t="str">
        <f>IF(A507="","",4*AVERAGE($E$7:E507))</f>
        <v/>
      </c>
      <c r="R507" t="str">
        <f>IF(L507="","",6*AVERAGE($Q$7:Q507))</f>
        <v/>
      </c>
    </row>
    <row r="508" spans="6:18" x14ac:dyDescent="0.3">
      <c r="F508" t="str">
        <f>IF(A508="","",4*AVERAGE($E$7:E508))</f>
        <v/>
      </c>
      <c r="R508" t="str">
        <f>IF(L508="","",6*AVERAGE($Q$7:Q508))</f>
        <v/>
      </c>
    </row>
    <row r="509" spans="6:18" x14ac:dyDescent="0.3">
      <c r="F509" t="str">
        <f>IF(A509="","",4*AVERAGE($E$7:E509))</f>
        <v/>
      </c>
      <c r="R509" t="str">
        <f>IF(L509="","",6*AVERAGE($Q$7:Q509))</f>
        <v/>
      </c>
    </row>
    <row r="510" spans="6:18" x14ac:dyDescent="0.3">
      <c r="F510" t="str">
        <f>IF(A510="","",4*AVERAGE($E$7:E510))</f>
        <v/>
      </c>
      <c r="R510" t="str">
        <f>IF(L510="","",6*AVERAGE($Q$7:Q510))</f>
        <v/>
      </c>
    </row>
    <row r="511" spans="6:18" x14ac:dyDescent="0.3">
      <c r="F511" t="str">
        <f>IF(A511="","",4*AVERAGE($E$7:E511))</f>
        <v/>
      </c>
      <c r="R511" t="str">
        <f>IF(L511="","",6*AVERAGE($Q$7:Q511))</f>
        <v/>
      </c>
    </row>
    <row r="512" spans="6:18" x14ac:dyDescent="0.3">
      <c r="F512" t="str">
        <f>IF(A512="","",4*AVERAGE($E$7:E512))</f>
        <v/>
      </c>
      <c r="R512" t="str">
        <f>IF(L512="","",6*AVERAGE($Q$7:Q512))</f>
        <v/>
      </c>
    </row>
    <row r="513" spans="6:18" x14ac:dyDescent="0.3">
      <c r="F513" t="str">
        <f>IF(A513="","",4*AVERAGE($E$7:E513))</f>
        <v/>
      </c>
      <c r="R513" t="str">
        <f>IF(L513="","",6*AVERAGE($Q$7:Q513))</f>
        <v/>
      </c>
    </row>
    <row r="514" spans="6:18" x14ac:dyDescent="0.3">
      <c r="F514" t="str">
        <f>IF(A514="","",4*AVERAGE($E$7:E514))</f>
        <v/>
      </c>
      <c r="R514" t="str">
        <f>IF(L514="","",6*AVERAGE($Q$7:Q514))</f>
        <v/>
      </c>
    </row>
    <row r="515" spans="6:18" x14ac:dyDescent="0.3">
      <c r="F515" t="str">
        <f>IF(A515="","",4*AVERAGE($E$7:E515))</f>
        <v/>
      </c>
      <c r="R515" t="str">
        <f>IF(L515="","",6*AVERAGE($Q$7:Q515))</f>
        <v/>
      </c>
    </row>
    <row r="516" spans="6:18" x14ac:dyDescent="0.3">
      <c r="F516" t="str">
        <f>IF(A516="","",4*AVERAGE($E$7:E516))</f>
        <v/>
      </c>
      <c r="R516" t="str">
        <f>IF(L516="","",6*AVERAGE($Q$7:Q516))</f>
        <v/>
      </c>
    </row>
    <row r="517" spans="6:18" x14ac:dyDescent="0.3">
      <c r="F517" t="str">
        <f>IF(A517="","",4*AVERAGE($E$7:E517))</f>
        <v/>
      </c>
      <c r="R517" t="str">
        <f>IF(L517="","",6*AVERAGE($Q$7:Q517))</f>
        <v/>
      </c>
    </row>
    <row r="518" spans="6:18" x14ac:dyDescent="0.3">
      <c r="F518" t="str">
        <f>IF(A518="","",4*AVERAGE($E$7:E518))</f>
        <v/>
      </c>
      <c r="R518" t="str">
        <f>IF(L518="","",6*AVERAGE($Q$7:Q518))</f>
        <v/>
      </c>
    </row>
    <row r="519" spans="6:18" x14ac:dyDescent="0.3">
      <c r="F519" t="str">
        <f>IF(A519="","",4*AVERAGE($E$7:E519))</f>
        <v/>
      </c>
      <c r="R519" t="str">
        <f>IF(L519="","",6*AVERAGE($Q$7:Q519))</f>
        <v/>
      </c>
    </row>
    <row r="520" spans="6:18" x14ac:dyDescent="0.3">
      <c r="F520" t="str">
        <f>IF(A520="","",4*AVERAGE($E$7:E520))</f>
        <v/>
      </c>
      <c r="R520" t="str">
        <f>IF(L520="","",6*AVERAGE($Q$7:Q520))</f>
        <v/>
      </c>
    </row>
    <row r="521" spans="6:18" x14ac:dyDescent="0.3">
      <c r="F521" t="str">
        <f>IF(A521="","",4*AVERAGE($E$7:E521))</f>
        <v/>
      </c>
      <c r="R521" t="str">
        <f>IF(L521="","",6*AVERAGE($Q$7:Q521))</f>
        <v/>
      </c>
    </row>
    <row r="522" spans="6:18" x14ac:dyDescent="0.3">
      <c r="F522" t="str">
        <f>IF(A522="","",4*AVERAGE($E$7:E522))</f>
        <v/>
      </c>
      <c r="R522" t="str">
        <f>IF(L522="","",6*AVERAGE($Q$7:Q522))</f>
        <v/>
      </c>
    </row>
    <row r="523" spans="6:18" x14ac:dyDescent="0.3">
      <c r="F523" t="str">
        <f>IF(A523="","",4*AVERAGE($E$7:E523))</f>
        <v/>
      </c>
      <c r="R523" t="str">
        <f>IF(L523="","",6*AVERAGE($Q$7:Q523))</f>
        <v/>
      </c>
    </row>
    <row r="524" spans="6:18" x14ac:dyDescent="0.3">
      <c r="F524" t="str">
        <f>IF(A524="","",4*AVERAGE($E$7:E524))</f>
        <v/>
      </c>
      <c r="R524" t="str">
        <f>IF(L524="","",6*AVERAGE($Q$7:Q524))</f>
        <v/>
      </c>
    </row>
    <row r="525" spans="6:18" x14ac:dyDescent="0.3">
      <c r="F525" t="str">
        <f>IF(A525="","",4*AVERAGE($E$7:E525))</f>
        <v/>
      </c>
      <c r="R525" t="str">
        <f>IF(L525="","",6*AVERAGE($Q$7:Q525))</f>
        <v/>
      </c>
    </row>
    <row r="526" spans="6:18" x14ac:dyDescent="0.3">
      <c r="F526" t="str">
        <f>IF(A526="","",4*AVERAGE($E$7:E526))</f>
        <v/>
      </c>
      <c r="R526" t="str">
        <f>IF(L526="","",6*AVERAGE($Q$7:Q526))</f>
        <v/>
      </c>
    </row>
    <row r="527" spans="6:18" x14ac:dyDescent="0.3">
      <c r="F527" t="str">
        <f>IF(A527="","",4*AVERAGE($E$7:E527))</f>
        <v/>
      </c>
      <c r="R527" t="str">
        <f>IF(L527="","",6*AVERAGE($Q$7:Q527))</f>
        <v/>
      </c>
    </row>
    <row r="528" spans="6:18" x14ac:dyDescent="0.3">
      <c r="F528" t="str">
        <f>IF(A528="","",4*AVERAGE($E$7:E528))</f>
        <v/>
      </c>
      <c r="R528" t="str">
        <f>IF(L528="","",6*AVERAGE($Q$7:Q528))</f>
        <v/>
      </c>
    </row>
    <row r="529" spans="6:18" x14ac:dyDescent="0.3">
      <c r="F529" t="str">
        <f>IF(A529="","",4*AVERAGE($E$7:E529))</f>
        <v/>
      </c>
      <c r="R529" t="str">
        <f>IF(L529="","",6*AVERAGE($Q$7:Q529))</f>
        <v/>
      </c>
    </row>
    <row r="530" spans="6:18" x14ac:dyDescent="0.3">
      <c r="F530" t="str">
        <f>IF(A530="","",4*AVERAGE($E$7:E530))</f>
        <v/>
      </c>
      <c r="R530" t="str">
        <f>IF(L530="","",6*AVERAGE($Q$7:Q530))</f>
        <v/>
      </c>
    </row>
    <row r="531" spans="6:18" x14ac:dyDescent="0.3">
      <c r="F531" t="str">
        <f>IF(A531="","",4*AVERAGE($E$7:E531))</f>
        <v/>
      </c>
      <c r="R531" t="str">
        <f>IF(L531="","",6*AVERAGE($Q$7:Q531))</f>
        <v/>
      </c>
    </row>
    <row r="532" spans="6:18" x14ac:dyDescent="0.3">
      <c r="F532" t="str">
        <f>IF(A532="","",4*AVERAGE($E$7:E532))</f>
        <v/>
      </c>
      <c r="R532" t="str">
        <f>IF(L532="","",6*AVERAGE($Q$7:Q532))</f>
        <v/>
      </c>
    </row>
    <row r="533" spans="6:18" x14ac:dyDescent="0.3">
      <c r="F533" t="str">
        <f>IF(A533="","",4*AVERAGE($E$7:E533))</f>
        <v/>
      </c>
      <c r="R533" t="str">
        <f>IF(L533="","",6*AVERAGE($Q$7:Q533))</f>
        <v/>
      </c>
    </row>
    <row r="534" spans="6:18" x14ac:dyDescent="0.3">
      <c r="F534" t="str">
        <f>IF(A534="","",4*AVERAGE($E$7:E534))</f>
        <v/>
      </c>
      <c r="R534" t="str">
        <f>IF(L534="","",6*AVERAGE($Q$7:Q534))</f>
        <v/>
      </c>
    </row>
    <row r="535" spans="6:18" x14ac:dyDescent="0.3">
      <c r="F535" t="str">
        <f>IF(A535="","",4*AVERAGE($E$7:E535))</f>
        <v/>
      </c>
      <c r="R535" t="str">
        <f>IF(L535="","",6*AVERAGE($Q$7:Q535))</f>
        <v/>
      </c>
    </row>
    <row r="536" spans="6:18" x14ac:dyDescent="0.3">
      <c r="F536" t="str">
        <f>IF(A536="","",4*AVERAGE($E$7:E536))</f>
        <v/>
      </c>
      <c r="R536" t="str">
        <f>IF(L536="","",6*AVERAGE($Q$7:Q536))</f>
        <v/>
      </c>
    </row>
    <row r="537" spans="6:18" x14ac:dyDescent="0.3">
      <c r="F537" t="str">
        <f>IF(A537="","",4*AVERAGE($E$7:E537))</f>
        <v/>
      </c>
      <c r="R537" t="str">
        <f>IF(L537="","",6*AVERAGE($Q$7:Q537))</f>
        <v/>
      </c>
    </row>
    <row r="538" spans="6:18" x14ac:dyDescent="0.3">
      <c r="F538" t="str">
        <f>IF(A538="","",4*AVERAGE($E$7:E538))</f>
        <v/>
      </c>
      <c r="R538" t="str">
        <f>IF(L538="","",6*AVERAGE($Q$7:Q538))</f>
        <v/>
      </c>
    </row>
    <row r="539" spans="6:18" x14ac:dyDescent="0.3">
      <c r="F539" t="str">
        <f>IF(A539="","",4*AVERAGE($E$7:E539))</f>
        <v/>
      </c>
      <c r="R539" t="str">
        <f>IF(L539="","",6*AVERAGE($Q$7:Q539))</f>
        <v/>
      </c>
    </row>
    <row r="540" spans="6:18" x14ac:dyDescent="0.3">
      <c r="F540" t="str">
        <f>IF(A540="","",4*AVERAGE($E$7:E540))</f>
        <v/>
      </c>
      <c r="R540" t="str">
        <f>IF(L540="","",6*AVERAGE($Q$7:Q540))</f>
        <v/>
      </c>
    </row>
    <row r="541" spans="6:18" x14ac:dyDescent="0.3">
      <c r="F541" t="str">
        <f>IF(A541="","",4*AVERAGE($E$7:E541))</f>
        <v/>
      </c>
      <c r="R541" t="str">
        <f>IF(L541="","",6*AVERAGE($Q$7:Q541))</f>
        <v/>
      </c>
    </row>
    <row r="542" spans="6:18" x14ac:dyDescent="0.3">
      <c r="F542" t="str">
        <f>IF(A542="","",4*AVERAGE($E$7:E542))</f>
        <v/>
      </c>
      <c r="R542" t="str">
        <f>IF(L542="","",6*AVERAGE($Q$7:Q542))</f>
        <v/>
      </c>
    </row>
    <row r="543" spans="6:18" x14ac:dyDescent="0.3">
      <c r="F543" t="str">
        <f>IF(A543="","",4*AVERAGE($E$7:E543))</f>
        <v/>
      </c>
      <c r="R543" t="str">
        <f>IF(L543="","",6*AVERAGE($Q$7:Q543))</f>
        <v/>
      </c>
    </row>
    <row r="544" spans="6:18" x14ac:dyDescent="0.3">
      <c r="F544" t="str">
        <f>IF(A544="","",4*AVERAGE($E$7:E544))</f>
        <v/>
      </c>
      <c r="R544" t="str">
        <f>IF(L544="","",6*AVERAGE($Q$7:Q544))</f>
        <v/>
      </c>
    </row>
    <row r="545" spans="6:18" x14ac:dyDescent="0.3">
      <c r="F545" t="str">
        <f>IF(A545="","",4*AVERAGE($E$7:E545))</f>
        <v/>
      </c>
      <c r="R545" t="str">
        <f>IF(L545="","",6*AVERAGE($Q$7:Q545))</f>
        <v/>
      </c>
    </row>
    <row r="546" spans="6:18" x14ac:dyDescent="0.3">
      <c r="F546" t="str">
        <f>IF(A546="","",4*AVERAGE($E$7:E546))</f>
        <v/>
      </c>
      <c r="R546" t="str">
        <f>IF(L546="","",6*AVERAGE($Q$7:Q546))</f>
        <v/>
      </c>
    </row>
    <row r="547" spans="6:18" x14ac:dyDescent="0.3">
      <c r="F547" t="str">
        <f>IF(A547="","",4*AVERAGE($E$7:E547))</f>
        <v/>
      </c>
      <c r="R547" t="str">
        <f>IF(L547="","",6*AVERAGE($Q$7:Q547))</f>
        <v/>
      </c>
    </row>
    <row r="548" spans="6:18" x14ac:dyDescent="0.3">
      <c r="F548" t="str">
        <f>IF(A548="","",4*AVERAGE($E$7:E548))</f>
        <v/>
      </c>
      <c r="R548" t="str">
        <f>IF(L548="","",6*AVERAGE($Q$7:Q548))</f>
        <v/>
      </c>
    </row>
    <row r="549" spans="6:18" x14ac:dyDescent="0.3">
      <c r="F549" t="str">
        <f>IF(A549="","",4*AVERAGE($E$7:E549))</f>
        <v/>
      </c>
      <c r="R549" t="str">
        <f>IF(L549="","",6*AVERAGE($Q$7:Q549))</f>
        <v/>
      </c>
    </row>
    <row r="550" spans="6:18" x14ac:dyDescent="0.3">
      <c r="F550" t="str">
        <f>IF(A550="","",4*AVERAGE($E$7:E550))</f>
        <v/>
      </c>
      <c r="R550" t="str">
        <f>IF(L550="","",6*AVERAGE($Q$7:Q550))</f>
        <v/>
      </c>
    </row>
    <row r="551" spans="6:18" x14ac:dyDescent="0.3">
      <c r="F551" t="str">
        <f>IF(A551="","",4*AVERAGE($E$7:E551))</f>
        <v/>
      </c>
      <c r="R551" t="str">
        <f>IF(L551="","",6*AVERAGE($Q$7:Q551))</f>
        <v/>
      </c>
    </row>
    <row r="552" spans="6:18" x14ac:dyDescent="0.3">
      <c r="F552" t="str">
        <f>IF(A552="","",4*AVERAGE($E$7:E552))</f>
        <v/>
      </c>
      <c r="R552" t="str">
        <f>IF(L552="","",6*AVERAGE($Q$7:Q552))</f>
        <v/>
      </c>
    </row>
    <row r="553" spans="6:18" x14ac:dyDescent="0.3">
      <c r="F553" t="str">
        <f>IF(A553="","",4*AVERAGE($E$7:E553))</f>
        <v/>
      </c>
      <c r="R553" t="str">
        <f>IF(L553="","",6*AVERAGE($Q$7:Q553))</f>
        <v/>
      </c>
    </row>
    <row r="554" spans="6:18" x14ac:dyDescent="0.3">
      <c r="F554" t="str">
        <f>IF(A554="","",4*AVERAGE($E$7:E554))</f>
        <v/>
      </c>
      <c r="R554" t="str">
        <f>IF(L554="","",6*AVERAGE($Q$7:Q554))</f>
        <v/>
      </c>
    </row>
    <row r="555" spans="6:18" x14ac:dyDescent="0.3">
      <c r="F555" t="str">
        <f>IF(A555="","",4*AVERAGE($E$7:E555))</f>
        <v/>
      </c>
      <c r="R555" t="str">
        <f>IF(L555="","",6*AVERAGE($Q$7:Q555))</f>
        <v/>
      </c>
    </row>
    <row r="556" spans="6:18" x14ac:dyDescent="0.3">
      <c r="F556" t="str">
        <f>IF(A556="","",4*AVERAGE($E$7:E556))</f>
        <v/>
      </c>
      <c r="R556" t="str">
        <f>IF(L556="","",6*AVERAGE($Q$7:Q556))</f>
        <v/>
      </c>
    </row>
    <row r="557" spans="6:18" x14ac:dyDescent="0.3">
      <c r="F557" t="str">
        <f>IF(A557="","",4*AVERAGE($E$7:E557))</f>
        <v/>
      </c>
      <c r="R557" t="str">
        <f>IF(L557="","",6*AVERAGE($Q$7:Q557))</f>
        <v/>
      </c>
    </row>
    <row r="558" spans="6:18" x14ac:dyDescent="0.3">
      <c r="F558" t="str">
        <f>IF(A558="","",4*AVERAGE($E$7:E558))</f>
        <v/>
      </c>
      <c r="R558" t="str">
        <f>IF(L558="","",6*AVERAGE($Q$7:Q558))</f>
        <v/>
      </c>
    </row>
    <row r="559" spans="6:18" x14ac:dyDescent="0.3">
      <c r="F559" t="str">
        <f>IF(A559="","",4*AVERAGE($E$7:E559))</f>
        <v/>
      </c>
      <c r="R559" t="str">
        <f>IF(L559="","",6*AVERAGE($Q$7:Q559))</f>
        <v/>
      </c>
    </row>
    <row r="560" spans="6:18" x14ac:dyDescent="0.3">
      <c r="F560" t="str">
        <f>IF(A560="","",4*AVERAGE($E$7:E560))</f>
        <v/>
      </c>
      <c r="R560" t="str">
        <f>IF(L560="","",6*AVERAGE($Q$7:Q560))</f>
        <v/>
      </c>
    </row>
    <row r="561" spans="6:18" x14ac:dyDescent="0.3">
      <c r="F561" t="str">
        <f>IF(A561="","",4*AVERAGE($E$7:E561))</f>
        <v/>
      </c>
      <c r="R561" t="str">
        <f>IF(L561="","",6*AVERAGE($Q$7:Q561))</f>
        <v/>
      </c>
    </row>
    <row r="562" spans="6:18" x14ac:dyDescent="0.3">
      <c r="F562" t="str">
        <f>IF(A562="","",4*AVERAGE($E$7:E562))</f>
        <v/>
      </c>
      <c r="R562" t="str">
        <f>IF(L562="","",6*AVERAGE($Q$7:Q562))</f>
        <v/>
      </c>
    </row>
    <row r="563" spans="6:18" x14ac:dyDescent="0.3">
      <c r="F563" t="str">
        <f>IF(A563="","",4*AVERAGE($E$7:E563))</f>
        <v/>
      </c>
      <c r="R563" t="str">
        <f>IF(L563="","",6*AVERAGE($Q$7:Q563))</f>
        <v/>
      </c>
    </row>
    <row r="564" spans="6:18" x14ac:dyDescent="0.3">
      <c r="F564" t="str">
        <f>IF(A564="","",4*AVERAGE($E$7:E564))</f>
        <v/>
      </c>
      <c r="R564" t="str">
        <f>IF(L564="","",6*AVERAGE($Q$7:Q564))</f>
        <v/>
      </c>
    </row>
    <row r="565" spans="6:18" x14ac:dyDescent="0.3">
      <c r="F565" t="str">
        <f>IF(A565="","",4*AVERAGE($E$7:E565))</f>
        <v/>
      </c>
      <c r="R565" t="str">
        <f>IF(L565="","",6*AVERAGE($Q$7:Q565))</f>
        <v/>
      </c>
    </row>
    <row r="566" spans="6:18" x14ac:dyDescent="0.3">
      <c r="F566" t="str">
        <f>IF(A566="","",4*AVERAGE($E$7:E566))</f>
        <v/>
      </c>
      <c r="R566" t="str">
        <f>IF(L566="","",6*AVERAGE($Q$7:Q566))</f>
        <v/>
      </c>
    </row>
    <row r="567" spans="6:18" x14ac:dyDescent="0.3">
      <c r="F567" t="str">
        <f>IF(A567="","",4*AVERAGE($E$7:E567))</f>
        <v/>
      </c>
      <c r="R567" t="str">
        <f>IF(L567="","",6*AVERAGE($Q$7:Q567))</f>
        <v/>
      </c>
    </row>
    <row r="568" spans="6:18" x14ac:dyDescent="0.3">
      <c r="F568" t="str">
        <f>IF(A568="","",4*AVERAGE($E$7:E568))</f>
        <v/>
      </c>
      <c r="R568" t="str">
        <f>IF(L568="","",6*AVERAGE($Q$7:Q568))</f>
        <v/>
      </c>
    </row>
    <row r="569" spans="6:18" x14ac:dyDescent="0.3">
      <c r="F569" t="str">
        <f>IF(A569="","",4*AVERAGE($E$7:E569))</f>
        <v/>
      </c>
      <c r="R569" t="str">
        <f>IF(L569="","",6*AVERAGE($Q$7:Q569))</f>
        <v/>
      </c>
    </row>
    <row r="570" spans="6:18" x14ac:dyDescent="0.3">
      <c r="F570" t="str">
        <f>IF(A570="","",4*AVERAGE($E$7:E570))</f>
        <v/>
      </c>
      <c r="R570" t="str">
        <f>IF(L570="","",6*AVERAGE($Q$7:Q570))</f>
        <v/>
      </c>
    </row>
    <row r="571" spans="6:18" x14ac:dyDescent="0.3">
      <c r="F571" t="str">
        <f>IF(A571="","",4*AVERAGE($E$7:E571))</f>
        <v/>
      </c>
      <c r="R571" t="str">
        <f>IF(L571="","",6*AVERAGE($Q$7:Q571))</f>
        <v/>
      </c>
    </row>
    <row r="572" spans="6:18" x14ac:dyDescent="0.3">
      <c r="F572" t="str">
        <f>IF(A572="","",4*AVERAGE($E$7:E572))</f>
        <v/>
      </c>
      <c r="R572" t="str">
        <f>IF(L572="","",6*AVERAGE($Q$7:Q572))</f>
        <v/>
      </c>
    </row>
    <row r="573" spans="6:18" x14ac:dyDescent="0.3">
      <c r="F573" t="str">
        <f>IF(A573="","",4*AVERAGE($E$7:E573))</f>
        <v/>
      </c>
      <c r="R573" t="str">
        <f>IF(L573="","",6*AVERAGE($Q$7:Q573))</f>
        <v/>
      </c>
    </row>
    <row r="574" spans="6:18" x14ac:dyDescent="0.3">
      <c r="F574" t="str">
        <f>IF(A574="","",4*AVERAGE($E$7:E574))</f>
        <v/>
      </c>
      <c r="R574" t="str">
        <f>IF(L574="","",6*AVERAGE($Q$7:Q574))</f>
        <v/>
      </c>
    </row>
    <row r="575" spans="6:18" x14ac:dyDescent="0.3">
      <c r="F575" t="str">
        <f>IF(A575="","",4*AVERAGE($E$7:E575))</f>
        <v/>
      </c>
      <c r="R575" t="str">
        <f>IF(L575="","",6*AVERAGE($Q$7:Q575))</f>
        <v/>
      </c>
    </row>
    <row r="576" spans="6:18" x14ac:dyDescent="0.3">
      <c r="F576" t="str">
        <f>IF(A576="","",4*AVERAGE($E$7:E576))</f>
        <v/>
      </c>
      <c r="R576" t="str">
        <f>IF(L576="","",6*AVERAGE($Q$7:Q576))</f>
        <v/>
      </c>
    </row>
    <row r="577" spans="6:18" x14ac:dyDescent="0.3">
      <c r="F577" t="str">
        <f>IF(A577="","",4*AVERAGE($E$7:E577))</f>
        <v/>
      </c>
      <c r="R577" t="str">
        <f>IF(L577="","",6*AVERAGE($Q$7:Q577))</f>
        <v/>
      </c>
    </row>
    <row r="578" spans="6:18" x14ac:dyDescent="0.3">
      <c r="F578" t="str">
        <f>IF(A578="","",4*AVERAGE($E$7:E578))</f>
        <v/>
      </c>
      <c r="R578" t="str">
        <f>IF(L578="","",6*AVERAGE($Q$7:Q578))</f>
        <v/>
      </c>
    </row>
    <row r="579" spans="6:18" x14ac:dyDescent="0.3">
      <c r="F579" t="str">
        <f>IF(A579="","",4*AVERAGE($E$7:E579))</f>
        <v/>
      </c>
      <c r="R579" t="str">
        <f>IF(L579="","",6*AVERAGE($Q$7:Q579))</f>
        <v/>
      </c>
    </row>
    <row r="580" spans="6:18" x14ac:dyDescent="0.3">
      <c r="F580" t="str">
        <f>IF(A580="","",4*AVERAGE($E$7:E580))</f>
        <v/>
      </c>
      <c r="R580" t="str">
        <f>IF(L580="","",6*AVERAGE($Q$7:Q580))</f>
        <v/>
      </c>
    </row>
    <row r="581" spans="6:18" x14ac:dyDescent="0.3">
      <c r="F581" t="str">
        <f>IF(A581="","",4*AVERAGE($E$7:E581))</f>
        <v/>
      </c>
      <c r="R581" t="str">
        <f>IF(L581="","",6*AVERAGE($Q$7:Q581))</f>
        <v/>
      </c>
    </row>
    <row r="582" spans="6:18" x14ac:dyDescent="0.3">
      <c r="F582" t="str">
        <f>IF(A582="","",4*AVERAGE($E$7:E582))</f>
        <v/>
      </c>
      <c r="R582" t="str">
        <f>IF(L582="","",6*AVERAGE($Q$7:Q582))</f>
        <v/>
      </c>
    </row>
    <row r="583" spans="6:18" x14ac:dyDescent="0.3">
      <c r="F583" t="str">
        <f>IF(A583="","",4*AVERAGE($E$7:E583))</f>
        <v/>
      </c>
      <c r="R583" t="str">
        <f>IF(L583="","",6*AVERAGE($Q$7:Q583))</f>
        <v/>
      </c>
    </row>
    <row r="584" spans="6:18" x14ac:dyDescent="0.3">
      <c r="F584" t="str">
        <f>IF(A584="","",4*AVERAGE($E$7:E584))</f>
        <v/>
      </c>
      <c r="R584" t="str">
        <f>IF(L584="","",6*AVERAGE($Q$7:Q584))</f>
        <v/>
      </c>
    </row>
    <row r="585" spans="6:18" x14ac:dyDescent="0.3">
      <c r="F585" t="str">
        <f>IF(A585="","",4*AVERAGE($E$7:E585))</f>
        <v/>
      </c>
      <c r="R585" t="str">
        <f>IF(L585="","",6*AVERAGE($Q$7:Q585))</f>
        <v/>
      </c>
    </row>
    <row r="586" spans="6:18" x14ac:dyDescent="0.3">
      <c r="F586" t="str">
        <f>IF(A586="","",4*AVERAGE($E$7:E586))</f>
        <v/>
      </c>
      <c r="R586" t="str">
        <f>IF(L586="","",6*AVERAGE($Q$7:Q586))</f>
        <v/>
      </c>
    </row>
    <row r="587" spans="6:18" x14ac:dyDescent="0.3">
      <c r="F587" t="str">
        <f>IF(A587="","",4*AVERAGE($E$7:E587))</f>
        <v/>
      </c>
      <c r="R587" t="str">
        <f>IF(L587="","",6*AVERAGE($Q$7:Q587))</f>
        <v/>
      </c>
    </row>
    <row r="588" spans="6:18" x14ac:dyDescent="0.3">
      <c r="F588" t="str">
        <f>IF(A588="","",4*AVERAGE($E$7:E588))</f>
        <v/>
      </c>
      <c r="R588" t="str">
        <f>IF(L588="","",6*AVERAGE($Q$7:Q588))</f>
        <v/>
      </c>
    </row>
    <row r="589" spans="6:18" x14ac:dyDescent="0.3">
      <c r="F589" t="str">
        <f>IF(A589="","",4*AVERAGE($E$7:E589))</f>
        <v/>
      </c>
      <c r="R589" t="str">
        <f>IF(L589="","",6*AVERAGE($Q$7:Q589))</f>
        <v/>
      </c>
    </row>
    <row r="590" spans="6:18" x14ac:dyDescent="0.3">
      <c r="F590" t="str">
        <f>IF(A590="","",4*AVERAGE($E$7:E590))</f>
        <v/>
      </c>
      <c r="R590" t="str">
        <f>IF(L590="","",6*AVERAGE($Q$7:Q590))</f>
        <v/>
      </c>
    </row>
    <row r="591" spans="6:18" x14ac:dyDescent="0.3">
      <c r="F591" t="str">
        <f>IF(A591="","",4*AVERAGE($E$7:E591))</f>
        <v/>
      </c>
      <c r="R591" t="str">
        <f>IF(L591="","",6*AVERAGE($Q$7:Q591))</f>
        <v/>
      </c>
    </row>
    <row r="592" spans="6:18" x14ac:dyDescent="0.3">
      <c r="F592" t="str">
        <f>IF(A592="","",4*AVERAGE($E$7:E592))</f>
        <v/>
      </c>
      <c r="R592" t="str">
        <f>IF(L592="","",6*AVERAGE($Q$7:Q592))</f>
        <v/>
      </c>
    </row>
    <row r="593" spans="6:18" x14ac:dyDescent="0.3">
      <c r="F593" t="str">
        <f>IF(A593="","",4*AVERAGE($E$7:E593))</f>
        <v/>
      </c>
      <c r="R593" t="str">
        <f>IF(L593="","",6*AVERAGE($Q$7:Q593))</f>
        <v/>
      </c>
    </row>
    <row r="594" spans="6:18" x14ac:dyDescent="0.3">
      <c r="F594" t="str">
        <f>IF(A594="","",4*AVERAGE($E$7:E594))</f>
        <v/>
      </c>
      <c r="R594" t="str">
        <f>IF(L594="","",6*AVERAGE($Q$7:Q594))</f>
        <v/>
      </c>
    </row>
    <row r="595" spans="6:18" x14ac:dyDescent="0.3">
      <c r="F595" t="str">
        <f>IF(A595="","",4*AVERAGE($E$7:E595))</f>
        <v/>
      </c>
      <c r="R595" t="str">
        <f>IF(L595="","",6*AVERAGE($Q$7:Q595))</f>
        <v/>
      </c>
    </row>
    <row r="596" spans="6:18" x14ac:dyDescent="0.3">
      <c r="F596" t="str">
        <f>IF(A596="","",4*AVERAGE($E$7:E596))</f>
        <v/>
      </c>
      <c r="R596" t="str">
        <f>IF(L596="","",6*AVERAGE($Q$7:Q596))</f>
        <v/>
      </c>
    </row>
    <row r="597" spans="6:18" x14ac:dyDescent="0.3">
      <c r="F597" t="str">
        <f>IF(A597="","",4*AVERAGE($E$7:E597))</f>
        <v/>
      </c>
      <c r="R597" t="str">
        <f>IF(L597="","",6*AVERAGE($Q$7:Q597))</f>
        <v/>
      </c>
    </row>
    <row r="598" spans="6:18" x14ac:dyDescent="0.3">
      <c r="F598" t="str">
        <f>IF(A598="","",4*AVERAGE($E$7:E598))</f>
        <v/>
      </c>
      <c r="R598" t="str">
        <f>IF(L598="","",6*AVERAGE($Q$7:Q598))</f>
        <v/>
      </c>
    </row>
    <row r="599" spans="6:18" x14ac:dyDescent="0.3">
      <c r="F599" t="str">
        <f>IF(A599="","",4*AVERAGE($E$7:E599))</f>
        <v/>
      </c>
      <c r="R599" t="str">
        <f>IF(L599="","",6*AVERAGE($Q$7:Q599))</f>
        <v/>
      </c>
    </row>
    <row r="600" spans="6:18" x14ac:dyDescent="0.3">
      <c r="F600" t="str">
        <f>IF(A600="","",4*AVERAGE($E$7:E600))</f>
        <v/>
      </c>
      <c r="R600" t="str">
        <f>IF(L600="","",6*AVERAGE($Q$7:Q600))</f>
        <v/>
      </c>
    </row>
    <row r="601" spans="6:18" x14ac:dyDescent="0.3">
      <c r="F601" t="str">
        <f>IF(A601="","",4*AVERAGE($E$7:E601))</f>
        <v/>
      </c>
      <c r="R601" t="str">
        <f>IF(L601="","",6*AVERAGE($Q$7:Q601))</f>
        <v/>
      </c>
    </row>
    <row r="602" spans="6:18" x14ac:dyDescent="0.3">
      <c r="F602" t="str">
        <f>IF(A602="","",4*AVERAGE($E$7:E602))</f>
        <v/>
      </c>
      <c r="R602" t="str">
        <f>IF(L602="","",6*AVERAGE($Q$7:Q602))</f>
        <v/>
      </c>
    </row>
    <row r="603" spans="6:18" x14ac:dyDescent="0.3">
      <c r="F603" t="str">
        <f>IF(A603="","",4*AVERAGE($E$7:E603))</f>
        <v/>
      </c>
      <c r="R603" t="str">
        <f>IF(L603="","",6*AVERAGE($Q$7:Q603))</f>
        <v/>
      </c>
    </row>
    <row r="604" spans="6:18" x14ac:dyDescent="0.3">
      <c r="F604" t="str">
        <f>IF(A604="","",4*AVERAGE($E$7:E604))</f>
        <v/>
      </c>
      <c r="R604" t="str">
        <f>IF(L604="","",6*AVERAGE($Q$7:Q604))</f>
        <v/>
      </c>
    </row>
    <row r="605" spans="6:18" x14ac:dyDescent="0.3">
      <c r="F605" t="str">
        <f>IF(A605="","",4*AVERAGE($E$7:E605))</f>
        <v/>
      </c>
      <c r="R605" t="str">
        <f>IF(L605="","",6*AVERAGE($Q$7:Q605))</f>
        <v/>
      </c>
    </row>
    <row r="606" spans="6:18" x14ac:dyDescent="0.3">
      <c r="F606" t="str">
        <f>IF(A606="","",4*AVERAGE($E$7:E606))</f>
        <v/>
      </c>
      <c r="R606" t="str">
        <f>IF(L606="","",6*AVERAGE($Q$7:Q606))</f>
        <v/>
      </c>
    </row>
    <row r="607" spans="6:18" x14ac:dyDescent="0.3">
      <c r="F607" t="str">
        <f>IF(A607="","",4*AVERAGE($E$7:E607))</f>
        <v/>
      </c>
      <c r="R607" t="str">
        <f>IF(L607="","",6*AVERAGE($Q$7:Q607))</f>
        <v/>
      </c>
    </row>
    <row r="608" spans="6:18" x14ac:dyDescent="0.3">
      <c r="F608" t="str">
        <f>IF(A608="","",4*AVERAGE($E$7:E608))</f>
        <v/>
      </c>
      <c r="R608" t="str">
        <f>IF(L608="","",6*AVERAGE($Q$7:Q608))</f>
        <v/>
      </c>
    </row>
    <row r="609" spans="6:18" x14ac:dyDescent="0.3">
      <c r="F609" t="str">
        <f>IF(A609="","",4*AVERAGE($E$7:E609))</f>
        <v/>
      </c>
      <c r="R609" t="str">
        <f>IF(L609="","",6*AVERAGE($Q$7:Q609))</f>
        <v/>
      </c>
    </row>
    <row r="610" spans="6:18" x14ac:dyDescent="0.3">
      <c r="F610" t="str">
        <f>IF(A610="","",4*AVERAGE($E$7:E610))</f>
        <v/>
      </c>
      <c r="R610" t="str">
        <f>IF(L610="","",6*AVERAGE($Q$7:Q610))</f>
        <v/>
      </c>
    </row>
    <row r="611" spans="6:18" x14ac:dyDescent="0.3">
      <c r="F611" t="str">
        <f>IF(A611="","",4*AVERAGE($E$7:E611))</f>
        <v/>
      </c>
      <c r="R611" t="str">
        <f>IF(L611="","",6*AVERAGE($Q$7:Q611))</f>
        <v/>
      </c>
    </row>
    <row r="612" spans="6:18" x14ac:dyDescent="0.3">
      <c r="F612" t="str">
        <f>IF(A612="","",4*AVERAGE($E$7:E612))</f>
        <v/>
      </c>
      <c r="R612" t="str">
        <f>IF(L612="","",6*AVERAGE($Q$7:Q612))</f>
        <v/>
      </c>
    </row>
    <row r="613" spans="6:18" x14ac:dyDescent="0.3">
      <c r="F613" t="str">
        <f>IF(A613="","",4*AVERAGE($E$7:E613))</f>
        <v/>
      </c>
      <c r="R613" t="str">
        <f>IF(L613="","",6*AVERAGE($Q$7:Q613))</f>
        <v/>
      </c>
    </row>
    <row r="614" spans="6:18" x14ac:dyDescent="0.3">
      <c r="F614" t="str">
        <f>IF(A614="","",4*AVERAGE($E$7:E614))</f>
        <v/>
      </c>
      <c r="R614" t="str">
        <f>IF(L614="","",6*AVERAGE($Q$7:Q614))</f>
        <v/>
      </c>
    </row>
    <row r="615" spans="6:18" x14ac:dyDescent="0.3">
      <c r="F615" t="str">
        <f>IF(A615="","",4*AVERAGE($E$7:E615))</f>
        <v/>
      </c>
      <c r="R615" t="str">
        <f>IF(L615="","",6*AVERAGE($Q$7:Q615))</f>
        <v/>
      </c>
    </row>
    <row r="616" spans="6:18" x14ac:dyDescent="0.3">
      <c r="F616" t="str">
        <f>IF(A616="","",4*AVERAGE($E$7:E616))</f>
        <v/>
      </c>
      <c r="R616" t="str">
        <f>IF(L616="","",6*AVERAGE($Q$7:Q616))</f>
        <v/>
      </c>
    </row>
    <row r="617" spans="6:18" x14ac:dyDescent="0.3">
      <c r="F617" t="str">
        <f>IF(A617="","",4*AVERAGE($E$7:E617))</f>
        <v/>
      </c>
      <c r="R617" t="str">
        <f>IF(L617="","",6*AVERAGE($Q$7:Q617))</f>
        <v/>
      </c>
    </row>
    <row r="618" spans="6:18" x14ac:dyDescent="0.3">
      <c r="F618" t="str">
        <f>IF(A618="","",4*AVERAGE($E$7:E618))</f>
        <v/>
      </c>
      <c r="R618" t="str">
        <f>IF(L618="","",6*AVERAGE($Q$7:Q618))</f>
        <v/>
      </c>
    </row>
    <row r="619" spans="6:18" x14ac:dyDescent="0.3">
      <c r="F619" t="str">
        <f>IF(A619="","",4*AVERAGE($E$7:E619))</f>
        <v/>
      </c>
      <c r="R619" t="str">
        <f>IF(L619="","",6*AVERAGE($Q$7:Q619))</f>
        <v/>
      </c>
    </row>
    <row r="620" spans="6:18" x14ac:dyDescent="0.3">
      <c r="F620" t="str">
        <f>IF(A620="","",4*AVERAGE($E$7:E620))</f>
        <v/>
      </c>
      <c r="R620" t="str">
        <f>IF(L620="","",6*AVERAGE($Q$7:Q620))</f>
        <v/>
      </c>
    </row>
    <row r="621" spans="6:18" x14ac:dyDescent="0.3">
      <c r="F621" t="str">
        <f>IF(A621="","",4*AVERAGE($E$7:E621))</f>
        <v/>
      </c>
      <c r="R621" t="str">
        <f>IF(L621="","",6*AVERAGE($Q$7:Q621))</f>
        <v/>
      </c>
    </row>
    <row r="622" spans="6:18" x14ac:dyDescent="0.3">
      <c r="F622" t="str">
        <f>IF(A622="","",4*AVERAGE($E$7:E622))</f>
        <v/>
      </c>
      <c r="R622" t="str">
        <f>IF(L622="","",6*AVERAGE($Q$7:Q622))</f>
        <v/>
      </c>
    </row>
    <row r="623" spans="6:18" x14ac:dyDescent="0.3">
      <c r="F623" t="str">
        <f>IF(A623="","",4*AVERAGE($E$7:E623))</f>
        <v/>
      </c>
      <c r="R623" t="str">
        <f>IF(L623="","",6*AVERAGE($Q$7:Q623))</f>
        <v/>
      </c>
    </row>
    <row r="624" spans="6:18" x14ac:dyDescent="0.3">
      <c r="F624" t="str">
        <f>IF(A624="","",4*AVERAGE($E$7:E624))</f>
        <v/>
      </c>
      <c r="R624" t="str">
        <f>IF(L624="","",6*AVERAGE($Q$7:Q624))</f>
        <v/>
      </c>
    </row>
    <row r="625" spans="6:18" x14ac:dyDescent="0.3">
      <c r="F625" t="str">
        <f>IF(A625="","",4*AVERAGE($E$7:E625))</f>
        <v/>
      </c>
      <c r="R625" t="str">
        <f>IF(L625="","",6*AVERAGE($Q$7:Q625))</f>
        <v/>
      </c>
    </row>
    <row r="626" spans="6:18" x14ac:dyDescent="0.3">
      <c r="F626" t="str">
        <f>IF(A626="","",4*AVERAGE($E$7:E626))</f>
        <v/>
      </c>
      <c r="R626" t="str">
        <f>IF(L626="","",6*AVERAGE($Q$7:Q626))</f>
        <v/>
      </c>
    </row>
    <row r="627" spans="6:18" x14ac:dyDescent="0.3">
      <c r="F627" t="str">
        <f>IF(A627="","",4*AVERAGE($E$7:E627))</f>
        <v/>
      </c>
      <c r="R627" t="str">
        <f>IF(L627="","",6*AVERAGE($Q$7:Q627))</f>
        <v/>
      </c>
    </row>
    <row r="628" spans="6:18" x14ac:dyDescent="0.3">
      <c r="F628" t="str">
        <f>IF(A628="","",4*AVERAGE($E$7:E628))</f>
        <v/>
      </c>
      <c r="R628" t="str">
        <f>IF(L628="","",6*AVERAGE($Q$7:Q628))</f>
        <v/>
      </c>
    </row>
    <row r="629" spans="6:18" x14ac:dyDescent="0.3">
      <c r="F629" t="str">
        <f>IF(A629="","",4*AVERAGE($E$7:E629))</f>
        <v/>
      </c>
      <c r="R629" t="str">
        <f>IF(L629="","",6*AVERAGE($Q$7:Q629))</f>
        <v/>
      </c>
    </row>
    <row r="630" spans="6:18" x14ac:dyDescent="0.3">
      <c r="F630" t="str">
        <f>IF(A630="","",4*AVERAGE($E$7:E630))</f>
        <v/>
      </c>
      <c r="R630" t="str">
        <f>IF(L630="","",6*AVERAGE($Q$7:Q630))</f>
        <v/>
      </c>
    </row>
    <row r="631" spans="6:18" x14ac:dyDescent="0.3">
      <c r="F631" t="str">
        <f>IF(A631="","",4*AVERAGE($E$7:E631))</f>
        <v/>
      </c>
      <c r="R631" t="str">
        <f>IF(L631="","",6*AVERAGE($Q$7:Q631))</f>
        <v/>
      </c>
    </row>
    <row r="632" spans="6:18" x14ac:dyDescent="0.3">
      <c r="F632" t="str">
        <f>IF(A632="","",4*AVERAGE($E$7:E632))</f>
        <v/>
      </c>
      <c r="R632" t="str">
        <f>IF(L632="","",6*AVERAGE($Q$7:Q632))</f>
        <v/>
      </c>
    </row>
    <row r="633" spans="6:18" x14ac:dyDescent="0.3">
      <c r="F633" t="str">
        <f>IF(A633="","",4*AVERAGE($E$7:E633))</f>
        <v/>
      </c>
      <c r="R633" t="str">
        <f>IF(L633="","",6*AVERAGE($Q$7:Q633))</f>
        <v/>
      </c>
    </row>
    <row r="634" spans="6:18" x14ac:dyDescent="0.3">
      <c r="F634" t="str">
        <f>IF(A634="","",4*AVERAGE($E$7:E634))</f>
        <v/>
      </c>
      <c r="R634" t="str">
        <f>IF(L634="","",6*AVERAGE($Q$7:Q634))</f>
        <v/>
      </c>
    </row>
    <row r="635" spans="6:18" x14ac:dyDescent="0.3">
      <c r="F635" t="str">
        <f>IF(A635="","",4*AVERAGE($E$7:E635))</f>
        <v/>
      </c>
      <c r="R635" t="str">
        <f>IF(L635="","",6*AVERAGE($Q$7:Q635))</f>
        <v/>
      </c>
    </row>
    <row r="636" spans="6:18" x14ac:dyDescent="0.3">
      <c r="F636" t="str">
        <f>IF(A636="","",4*AVERAGE($E$7:E636))</f>
        <v/>
      </c>
      <c r="R636" t="str">
        <f>IF(L636="","",6*AVERAGE($Q$7:Q636))</f>
        <v/>
      </c>
    </row>
    <row r="637" spans="6:18" x14ac:dyDescent="0.3">
      <c r="F637" t="str">
        <f>IF(A637="","",4*AVERAGE($E$7:E637))</f>
        <v/>
      </c>
      <c r="R637" t="str">
        <f>IF(L637="","",6*AVERAGE($Q$7:Q637))</f>
        <v/>
      </c>
    </row>
    <row r="638" spans="6:18" x14ac:dyDescent="0.3">
      <c r="F638" t="str">
        <f>IF(A638="","",4*AVERAGE($E$7:E638))</f>
        <v/>
      </c>
      <c r="R638" t="str">
        <f>IF(L638="","",6*AVERAGE($Q$7:Q638))</f>
        <v/>
      </c>
    </row>
    <row r="639" spans="6:18" x14ac:dyDescent="0.3">
      <c r="F639" t="str">
        <f>IF(A639="","",4*AVERAGE($E$7:E639))</f>
        <v/>
      </c>
      <c r="R639" t="str">
        <f>IF(L639="","",6*AVERAGE($Q$7:Q639))</f>
        <v/>
      </c>
    </row>
    <row r="640" spans="6:18" x14ac:dyDescent="0.3">
      <c r="F640" t="str">
        <f>IF(A640="","",4*AVERAGE($E$7:E640))</f>
        <v/>
      </c>
      <c r="R640" t="str">
        <f>IF(L640="","",6*AVERAGE($Q$7:Q640))</f>
        <v/>
      </c>
    </row>
    <row r="641" spans="6:18" x14ac:dyDescent="0.3">
      <c r="F641" t="str">
        <f>IF(A641="","",4*AVERAGE($E$7:E641))</f>
        <v/>
      </c>
      <c r="R641" t="str">
        <f>IF(L641="","",6*AVERAGE($Q$7:Q641))</f>
        <v/>
      </c>
    </row>
    <row r="642" spans="6:18" x14ac:dyDescent="0.3">
      <c r="F642" t="str">
        <f>IF(A642="","",4*AVERAGE($E$7:E642))</f>
        <v/>
      </c>
      <c r="R642" t="str">
        <f>IF(L642="","",6*AVERAGE($Q$7:Q642))</f>
        <v/>
      </c>
    </row>
    <row r="643" spans="6:18" x14ac:dyDescent="0.3">
      <c r="F643" t="str">
        <f>IF(A643="","",4*AVERAGE($E$7:E643))</f>
        <v/>
      </c>
      <c r="R643" t="str">
        <f>IF(L643="","",6*AVERAGE($Q$7:Q643))</f>
        <v/>
      </c>
    </row>
    <row r="644" spans="6:18" x14ac:dyDescent="0.3">
      <c r="F644" t="str">
        <f>IF(A644="","",4*AVERAGE($E$7:E644))</f>
        <v/>
      </c>
      <c r="R644" t="str">
        <f>IF(L644="","",6*AVERAGE($Q$7:Q644))</f>
        <v/>
      </c>
    </row>
    <row r="645" spans="6:18" x14ac:dyDescent="0.3">
      <c r="F645" t="str">
        <f>IF(A645="","",4*AVERAGE($E$7:E645))</f>
        <v/>
      </c>
      <c r="R645" t="str">
        <f>IF(L645="","",6*AVERAGE($Q$7:Q645))</f>
        <v/>
      </c>
    </row>
    <row r="646" spans="6:18" x14ac:dyDescent="0.3">
      <c r="F646" t="str">
        <f>IF(A646="","",4*AVERAGE($E$7:E646))</f>
        <v/>
      </c>
      <c r="R646" t="str">
        <f>IF(L646="","",6*AVERAGE($Q$7:Q646))</f>
        <v/>
      </c>
    </row>
    <row r="647" spans="6:18" x14ac:dyDescent="0.3">
      <c r="F647" t="str">
        <f>IF(A647="","",4*AVERAGE($E$7:E647))</f>
        <v/>
      </c>
      <c r="R647" t="str">
        <f>IF(L647="","",6*AVERAGE($Q$7:Q647))</f>
        <v/>
      </c>
    </row>
    <row r="648" spans="6:18" x14ac:dyDescent="0.3">
      <c r="F648" t="str">
        <f>IF(A648="","",4*AVERAGE($E$7:E648))</f>
        <v/>
      </c>
      <c r="R648" t="str">
        <f>IF(L648="","",6*AVERAGE($Q$7:Q648))</f>
        <v/>
      </c>
    </row>
    <row r="649" spans="6:18" x14ac:dyDescent="0.3">
      <c r="F649" t="str">
        <f>IF(A649="","",4*AVERAGE($E$7:E649))</f>
        <v/>
      </c>
      <c r="R649" t="str">
        <f>IF(L649="","",6*AVERAGE($Q$7:Q649))</f>
        <v/>
      </c>
    </row>
    <row r="650" spans="6:18" x14ac:dyDescent="0.3">
      <c r="F650" t="str">
        <f>IF(A650="","",4*AVERAGE($E$7:E650))</f>
        <v/>
      </c>
      <c r="R650" t="str">
        <f>IF(L650="","",6*AVERAGE($Q$7:Q650))</f>
        <v/>
      </c>
    </row>
    <row r="651" spans="6:18" x14ac:dyDescent="0.3">
      <c r="F651" t="str">
        <f>IF(A651="","",4*AVERAGE($E$7:E651))</f>
        <v/>
      </c>
      <c r="R651" t="str">
        <f>IF(L651="","",6*AVERAGE($Q$7:Q651))</f>
        <v/>
      </c>
    </row>
    <row r="652" spans="6:18" x14ac:dyDescent="0.3">
      <c r="F652" t="str">
        <f>IF(A652="","",4*AVERAGE($E$7:E652))</f>
        <v/>
      </c>
      <c r="R652" t="str">
        <f>IF(L652="","",6*AVERAGE($Q$7:Q652))</f>
        <v/>
      </c>
    </row>
    <row r="653" spans="6:18" x14ac:dyDescent="0.3">
      <c r="F653" t="str">
        <f>IF(A653="","",4*AVERAGE($E$7:E653))</f>
        <v/>
      </c>
      <c r="R653" t="str">
        <f>IF(L653="","",6*AVERAGE($Q$7:Q653))</f>
        <v/>
      </c>
    </row>
    <row r="654" spans="6:18" x14ac:dyDescent="0.3">
      <c r="F654" t="str">
        <f>IF(A654="","",4*AVERAGE($E$7:E654))</f>
        <v/>
      </c>
      <c r="R654" t="str">
        <f>IF(L654="","",6*AVERAGE($Q$7:Q654))</f>
        <v/>
      </c>
    </row>
    <row r="655" spans="6:18" x14ac:dyDescent="0.3">
      <c r="F655" t="str">
        <f>IF(A655="","",4*AVERAGE($E$7:E655))</f>
        <v/>
      </c>
      <c r="R655" t="str">
        <f>IF(L655="","",6*AVERAGE($Q$7:Q655))</f>
        <v/>
      </c>
    </row>
    <row r="656" spans="6:18" x14ac:dyDescent="0.3">
      <c r="F656" t="str">
        <f>IF(A656="","",4*AVERAGE($E$7:E656))</f>
        <v/>
      </c>
      <c r="R656" t="str">
        <f>IF(L656="","",6*AVERAGE($Q$7:Q656))</f>
        <v/>
      </c>
    </row>
    <row r="657" spans="6:18" x14ac:dyDescent="0.3">
      <c r="F657" t="str">
        <f>IF(A657="","",4*AVERAGE($E$7:E657))</f>
        <v/>
      </c>
      <c r="R657" t="str">
        <f>IF(L657="","",6*AVERAGE($Q$7:Q657))</f>
        <v/>
      </c>
    </row>
    <row r="658" spans="6:18" x14ac:dyDescent="0.3">
      <c r="F658" t="str">
        <f>IF(A658="","",4*AVERAGE($E$7:E658))</f>
        <v/>
      </c>
      <c r="R658" t="str">
        <f>IF(L658="","",6*AVERAGE($Q$7:Q658))</f>
        <v/>
      </c>
    </row>
    <row r="659" spans="6:18" x14ac:dyDescent="0.3">
      <c r="F659" t="str">
        <f>IF(A659="","",4*AVERAGE($E$7:E659))</f>
        <v/>
      </c>
      <c r="R659" t="str">
        <f>IF(L659="","",6*AVERAGE($Q$7:Q659))</f>
        <v/>
      </c>
    </row>
    <row r="660" spans="6:18" x14ac:dyDescent="0.3">
      <c r="F660" t="str">
        <f>IF(A660="","",4*AVERAGE($E$7:E660))</f>
        <v/>
      </c>
      <c r="R660" t="str">
        <f>IF(L660="","",6*AVERAGE($Q$7:Q660))</f>
        <v/>
      </c>
    </row>
    <row r="661" spans="6:18" x14ac:dyDescent="0.3">
      <c r="F661" t="str">
        <f>IF(A661="","",4*AVERAGE($E$7:E661))</f>
        <v/>
      </c>
      <c r="R661" t="str">
        <f>IF(L661="","",6*AVERAGE($Q$7:Q661))</f>
        <v/>
      </c>
    </row>
    <row r="662" spans="6:18" x14ac:dyDescent="0.3">
      <c r="F662" t="str">
        <f>IF(A662="","",4*AVERAGE($E$7:E662))</f>
        <v/>
      </c>
      <c r="R662" t="str">
        <f>IF(L662="","",6*AVERAGE($Q$7:Q662))</f>
        <v/>
      </c>
    </row>
    <row r="663" spans="6:18" x14ac:dyDescent="0.3">
      <c r="F663" t="str">
        <f>IF(A663="","",4*AVERAGE($E$7:E663))</f>
        <v/>
      </c>
      <c r="R663" t="str">
        <f>IF(L663="","",6*AVERAGE($Q$7:Q663))</f>
        <v/>
      </c>
    </row>
    <row r="664" spans="6:18" x14ac:dyDescent="0.3">
      <c r="F664" t="str">
        <f>IF(A664="","",4*AVERAGE($E$7:E664))</f>
        <v/>
      </c>
      <c r="R664" t="str">
        <f>IF(L664="","",6*AVERAGE($Q$7:Q664))</f>
        <v/>
      </c>
    </row>
    <row r="665" spans="6:18" x14ac:dyDescent="0.3">
      <c r="F665" t="str">
        <f>IF(A665="","",4*AVERAGE($E$7:E665))</f>
        <v/>
      </c>
      <c r="R665" t="str">
        <f>IF(L665="","",6*AVERAGE($Q$7:Q665))</f>
        <v/>
      </c>
    </row>
    <row r="666" spans="6:18" x14ac:dyDescent="0.3">
      <c r="F666" t="str">
        <f>IF(A666="","",4*AVERAGE($E$7:E666))</f>
        <v/>
      </c>
      <c r="R666" t="str">
        <f>IF(L666="","",6*AVERAGE($Q$7:Q666))</f>
        <v/>
      </c>
    </row>
    <row r="667" spans="6:18" x14ac:dyDescent="0.3">
      <c r="F667" t="str">
        <f>IF(A667="","",4*AVERAGE($E$7:E667))</f>
        <v/>
      </c>
      <c r="R667" t="str">
        <f>IF(L667="","",6*AVERAGE($Q$7:Q667))</f>
        <v/>
      </c>
    </row>
    <row r="668" spans="6:18" x14ac:dyDescent="0.3">
      <c r="F668" t="str">
        <f>IF(A668="","",4*AVERAGE($E$7:E668))</f>
        <v/>
      </c>
      <c r="R668" t="str">
        <f>IF(L668="","",6*AVERAGE($Q$7:Q668))</f>
        <v/>
      </c>
    </row>
    <row r="669" spans="6:18" x14ac:dyDescent="0.3">
      <c r="F669" t="str">
        <f>IF(A669="","",4*AVERAGE($E$7:E669))</f>
        <v/>
      </c>
      <c r="R669" t="str">
        <f>IF(L669="","",6*AVERAGE($Q$7:Q669))</f>
        <v/>
      </c>
    </row>
    <row r="670" spans="6:18" x14ac:dyDescent="0.3">
      <c r="F670" t="str">
        <f>IF(A670="","",4*AVERAGE($E$7:E670))</f>
        <v/>
      </c>
      <c r="R670" t="str">
        <f>IF(L670="","",6*AVERAGE($Q$7:Q670))</f>
        <v/>
      </c>
    </row>
    <row r="671" spans="6:18" x14ac:dyDescent="0.3">
      <c r="F671" t="str">
        <f>IF(A671="","",4*AVERAGE($E$7:E671))</f>
        <v/>
      </c>
      <c r="R671" t="str">
        <f>IF(L671="","",6*AVERAGE($Q$7:Q671))</f>
        <v/>
      </c>
    </row>
    <row r="672" spans="6:18" x14ac:dyDescent="0.3">
      <c r="F672" t="str">
        <f>IF(A672="","",4*AVERAGE($E$7:E672))</f>
        <v/>
      </c>
      <c r="R672" t="str">
        <f>IF(L672="","",6*AVERAGE($Q$7:Q672))</f>
        <v/>
      </c>
    </row>
    <row r="673" spans="6:18" x14ac:dyDescent="0.3">
      <c r="F673" t="str">
        <f>IF(A673="","",4*AVERAGE($E$7:E673))</f>
        <v/>
      </c>
      <c r="R673" t="str">
        <f>IF(L673="","",6*AVERAGE($Q$7:Q673))</f>
        <v/>
      </c>
    </row>
    <row r="674" spans="6:18" x14ac:dyDescent="0.3">
      <c r="F674" t="str">
        <f>IF(A674="","",4*AVERAGE($E$7:E674))</f>
        <v/>
      </c>
      <c r="R674" t="str">
        <f>IF(L674="","",6*AVERAGE($Q$7:Q674))</f>
        <v/>
      </c>
    </row>
    <row r="675" spans="6:18" x14ac:dyDescent="0.3">
      <c r="F675" t="str">
        <f>IF(A675="","",4*AVERAGE($E$7:E675))</f>
        <v/>
      </c>
      <c r="R675" t="str">
        <f>IF(L675="","",6*AVERAGE($Q$7:Q675))</f>
        <v/>
      </c>
    </row>
    <row r="676" spans="6:18" x14ac:dyDescent="0.3">
      <c r="F676" t="str">
        <f>IF(A676="","",4*AVERAGE($E$7:E676))</f>
        <v/>
      </c>
      <c r="R676" t="str">
        <f>IF(L676="","",6*AVERAGE($Q$7:Q676))</f>
        <v/>
      </c>
    </row>
    <row r="677" spans="6:18" x14ac:dyDescent="0.3">
      <c r="F677" t="str">
        <f>IF(A677="","",4*AVERAGE($E$7:E677))</f>
        <v/>
      </c>
      <c r="R677" t="str">
        <f>IF(L677="","",6*AVERAGE($Q$7:Q677))</f>
        <v/>
      </c>
    </row>
    <row r="678" spans="6:18" x14ac:dyDescent="0.3">
      <c r="F678" t="str">
        <f>IF(A678="","",4*AVERAGE($E$7:E678))</f>
        <v/>
      </c>
      <c r="R678" t="str">
        <f>IF(L678="","",6*AVERAGE($Q$7:Q678))</f>
        <v/>
      </c>
    </row>
    <row r="679" spans="6:18" x14ac:dyDescent="0.3">
      <c r="F679" t="str">
        <f>IF(A679="","",4*AVERAGE($E$7:E679))</f>
        <v/>
      </c>
      <c r="R679" t="str">
        <f>IF(L679="","",6*AVERAGE($Q$7:Q679))</f>
        <v/>
      </c>
    </row>
    <row r="680" spans="6:18" x14ac:dyDescent="0.3">
      <c r="F680" t="str">
        <f>IF(A680="","",4*AVERAGE($E$7:E680))</f>
        <v/>
      </c>
      <c r="R680" t="str">
        <f>IF(L680="","",6*AVERAGE($Q$7:Q680))</f>
        <v/>
      </c>
    </row>
    <row r="681" spans="6:18" x14ac:dyDescent="0.3">
      <c r="F681" t="str">
        <f>IF(A681="","",4*AVERAGE($E$7:E681))</f>
        <v/>
      </c>
      <c r="R681" t="str">
        <f>IF(L681="","",6*AVERAGE($Q$7:Q681))</f>
        <v/>
      </c>
    </row>
    <row r="682" spans="6:18" x14ac:dyDescent="0.3">
      <c r="F682" t="str">
        <f>IF(A682="","",4*AVERAGE($E$7:E682))</f>
        <v/>
      </c>
      <c r="R682" t="str">
        <f>IF(L682="","",6*AVERAGE($Q$7:Q682))</f>
        <v/>
      </c>
    </row>
    <row r="683" spans="6:18" x14ac:dyDescent="0.3">
      <c r="F683" t="str">
        <f>IF(A683="","",4*AVERAGE($E$7:E683))</f>
        <v/>
      </c>
      <c r="R683" t="str">
        <f>IF(L683="","",6*AVERAGE($Q$7:Q683))</f>
        <v/>
      </c>
    </row>
    <row r="684" spans="6:18" x14ac:dyDescent="0.3">
      <c r="F684" t="str">
        <f>IF(A684="","",4*AVERAGE($E$7:E684))</f>
        <v/>
      </c>
      <c r="R684" t="str">
        <f>IF(L684="","",6*AVERAGE($Q$7:Q684))</f>
        <v/>
      </c>
    </row>
    <row r="685" spans="6:18" x14ac:dyDescent="0.3">
      <c r="F685" t="str">
        <f>IF(A685="","",4*AVERAGE($E$7:E685))</f>
        <v/>
      </c>
      <c r="R685" t="str">
        <f>IF(L685="","",6*AVERAGE($Q$7:Q685))</f>
        <v/>
      </c>
    </row>
    <row r="686" spans="6:18" x14ac:dyDescent="0.3">
      <c r="F686" t="str">
        <f>IF(A686="","",4*AVERAGE($E$7:E686))</f>
        <v/>
      </c>
      <c r="R686" t="str">
        <f>IF(L686="","",6*AVERAGE($Q$7:Q686))</f>
        <v/>
      </c>
    </row>
    <row r="687" spans="6:18" x14ac:dyDescent="0.3">
      <c r="F687" t="str">
        <f>IF(A687="","",4*AVERAGE($E$7:E687))</f>
        <v/>
      </c>
      <c r="R687" t="str">
        <f>IF(L687="","",6*AVERAGE($Q$7:Q687))</f>
        <v/>
      </c>
    </row>
    <row r="688" spans="6:18" x14ac:dyDescent="0.3">
      <c r="F688" t="str">
        <f>IF(A688="","",4*AVERAGE($E$7:E688))</f>
        <v/>
      </c>
      <c r="R688" t="str">
        <f>IF(L688="","",6*AVERAGE($Q$7:Q688))</f>
        <v/>
      </c>
    </row>
    <row r="689" spans="6:18" x14ac:dyDescent="0.3">
      <c r="F689" t="str">
        <f>IF(A689="","",4*AVERAGE($E$7:E689))</f>
        <v/>
      </c>
      <c r="R689" t="str">
        <f>IF(L689="","",6*AVERAGE($Q$7:Q689))</f>
        <v/>
      </c>
    </row>
    <row r="690" spans="6:18" x14ac:dyDescent="0.3">
      <c r="F690" t="str">
        <f>IF(A690="","",4*AVERAGE($E$7:E690))</f>
        <v/>
      </c>
      <c r="R690" t="str">
        <f>IF(L690="","",6*AVERAGE($Q$7:Q690))</f>
        <v/>
      </c>
    </row>
    <row r="691" spans="6:18" x14ac:dyDescent="0.3">
      <c r="F691" t="str">
        <f>IF(A691="","",4*AVERAGE($E$7:E691))</f>
        <v/>
      </c>
      <c r="R691" t="str">
        <f>IF(L691="","",6*AVERAGE($Q$7:Q691))</f>
        <v/>
      </c>
    </row>
    <row r="692" spans="6:18" x14ac:dyDescent="0.3">
      <c r="F692" t="str">
        <f>IF(A692="","",4*AVERAGE($E$7:E692))</f>
        <v/>
      </c>
      <c r="R692" t="str">
        <f>IF(L692="","",6*AVERAGE($Q$7:Q692))</f>
        <v/>
      </c>
    </row>
    <row r="693" spans="6:18" x14ac:dyDescent="0.3">
      <c r="F693" t="str">
        <f>IF(A693="","",4*AVERAGE($E$7:E693))</f>
        <v/>
      </c>
      <c r="R693" t="str">
        <f>IF(L693="","",6*AVERAGE($Q$7:Q693))</f>
        <v/>
      </c>
    </row>
    <row r="694" spans="6:18" x14ac:dyDescent="0.3">
      <c r="F694" t="str">
        <f>IF(A694="","",4*AVERAGE($E$7:E694))</f>
        <v/>
      </c>
      <c r="R694" t="str">
        <f>IF(L694="","",6*AVERAGE($Q$7:Q694))</f>
        <v/>
      </c>
    </row>
    <row r="695" spans="6:18" x14ac:dyDescent="0.3">
      <c r="F695" t="str">
        <f>IF(A695="","",4*AVERAGE($E$7:E695))</f>
        <v/>
      </c>
      <c r="R695" t="str">
        <f>IF(L695="","",6*AVERAGE($Q$7:Q695))</f>
        <v/>
      </c>
    </row>
    <row r="696" spans="6:18" x14ac:dyDescent="0.3">
      <c r="F696" t="str">
        <f>IF(A696="","",4*AVERAGE($E$7:E696))</f>
        <v/>
      </c>
      <c r="R696" t="str">
        <f>IF(L696="","",6*AVERAGE($Q$7:Q696))</f>
        <v/>
      </c>
    </row>
    <row r="697" spans="6:18" x14ac:dyDescent="0.3">
      <c r="F697" t="str">
        <f>IF(A697="","",4*AVERAGE($E$7:E697))</f>
        <v/>
      </c>
      <c r="R697" t="str">
        <f>IF(L697="","",6*AVERAGE($Q$7:Q697))</f>
        <v/>
      </c>
    </row>
    <row r="698" spans="6:18" x14ac:dyDescent="0.3">
      <c r="F698" t="str">
        <f>IF(A698="","",4*AVERAGE($E$7:E698))</f>
        <v/>
      </c>
      <c r="R698" t="str">
        <f>IF(L698="","",6*AVERAGE($Q$7:Q698))</f>
        <v/>
      </c>
    </row>
    <row r="699" spans="6:18" x14ac:dyDescent="0.3">
      <c r="F699" t="str">
        <f>IF(A699="","",4*AVERAGE($E$7:E699))</f>
        <v/>
      </c>
      <c r="R699" t="str">
        <f>IF(L699="","",6*AVERAGE($Q$7:Q699))</f>
        <v/>
      </c>
    </row>
    <row r="700" spans="6:18" x14ac:dyDescent="0.3">
      <c r="F700" t="str">
        <f>IF(A700="","",4*AVERAGE($E$7:E700))</f>
        <v/>
      </c>
      <c r="R700" t="str">
        <f>IF(L700="","",6*AVERAGE($Q$7:Q700))</f>
        <v/>
      </c>
    </row>
    <row r="701" spans="6:18" x14ac:dyDescent="0.3">
      <c r="F701" t="str">
        <f>IF(A701="","",4*AVERAGE($E$7:E701))</f>
        <v/>
      </c>
      <c r="R701" t="str">
        <f>IF(L701="","",6*AVERAGE($Q$7:Q701))</f>
        <v/>
      </c>
    </row>
    <row r="702" spans="6:18" x14ac:dyDescent="0.3">
      <c r="F702" t="str">
        <f>IF(A702="","",4*AVERAGE($E$7:E702))</f>
        <v/>
      </c>
      <c r="R702" t="str">
        <f>IF(L702="","",6*AVERAGE($Q$7:Q702))</f>
        <v/>
      </c>
    </row>
    <row r="703" spans="6:18" x14ac:dyDescent="0.3">
      <c r="F703" t="str">
        <f>IF(A703="","",4*AVERAGE($E$7:E703))</f>
        <v/>
      </c>
      <c r="R703" t="str">
        <f>IF(L703="","",6*AVERAGE($Q$7:Q703))</f>
        <v/>
      </c>
    </row>
    <row r="704" spans="6:18" x14ac:dyDescent="0.3">
      <c r="F704" t="str">
        <f>IF(A704="","",4*AVERAGE($E$7:E704))</f>
        <v/>
      </c>
      <c r="R704" t="str">
        <f>IF(L704="","",6*AVERAGE($Q$7:Q704))</f>
        <v/>
      </c>
    </row>
    <row r="705" spans="6:18" x14ac:dyDescent="0.3">
      <c r="F705" t="str">
        <f>IF(A705="","",4*AVERAGE($E$7:E705))</f>
        <v/>
      </c>
      <c r="R705" t="str">
        <f>IF(L705="","",6*AVERAGE($Q$7:Q705))</f>
        <v/>
      </c>
    </row>
    <row r="706" spans="6:18" x14ac:dyDescent="0.3">
      <c r="F706" t="str">
        <f>IF(A706="","",4*AVERAGE($E$7:E706))</f>
        <v/>
      </c>
      <c r="R706" t="str">
        <f>IF(L706="","",6*AVERAGE($Q$7:Q706))</f>
        <v/>
      </c>
    </row>
    <row r="707" spans="6:18" x14ac:dyDescent="0.3">
      <c r="F707" t="str">
        <f>IF(A707="","",4*AVERAGE($E$7:E707))</f>
        <v/>
      </c>
      <c r="R707" t="str">
        <f>IF(L707="","",6*AVERAGE($Q$7:Q707))</f>
        <v/>
      </c>
    </row>
    <row r="708" spans="6:18" x14ac:dyDescent="0.3">
      <c r="F708" t="str">
        <f>IF(A708="","",4*AVERAGE($E$7:E708))</f>
        <v/>
      </c>
      <c r="R708" t="str">
        <f>IF(L708="","",6*AVERAGE($Q$7:Q708))</f>
        <v/>
      </c>
    </row>
    <row r="709" spans="6:18" x14ac:dyDescent="0.3">
      <c r="F709" t="str">
        <f>IF(A709="","",4*AVERAGE($E$7:E709))</f>
        <v/>
      </c>
      <c r="R709" t="str">
        <f>IF(L709="","",6*AVERAGE($Q$7:Q709))</f>
        <v/>
      </c>
    </row>
    <row r="710" spans="6:18" x14ac:dyDescent="0.3">
      <c r="F710" t="str">
        <f>IF(A710="","",4*AVERAGE($E$7:E710))</f>
        <v/>
      </c>
      <c r="R710" t="str">
        <f>IF(L710="","",6*AVERAGE($Q$7:Q710))</f>
        <v/>
      </c>
    </row>
    <row r="711" spans="6:18" x14ac:dyDescent="0.3">
      <c r="F711" t="str">
        <f>IF(A711="","",4*AVERAGE($E$7:E711))</f>
        <v/>
      </c>
      <c r="R711" t="str">
        <f>IF(L711="","",6*AVERAGE($Q$7:Q711))</f>
        <v/>
      </c>
    </row>
    <row r="712" spans="6:18" x14ac:dyDescent="0.3">
      <c r="F712" t="str">
        <f>IF(A712="","",4*AVERAGE($E$7:E712))</f>
        <v/>
      </c>
      <c r="R712" t="str">
        <f>IF(L712="","",6*AVERAGE($Q$7:Q712))</f>
        <v/>
      </c>
    </row>
    <row r="713" spans="6:18" x14ac:dyDescent="0.3">
      <c r="F713" t="str">
        <f>IF(A713="","",4*AVERAGE($E$7:E713))</f>
        <v/>
      </c>
      <c r="R713" t="str">
        <f>IF(L713="","",6*AVERAGE($Q$7:Q713))</f>
        <v/>
      </c>
    </row>
    <row r="714" spans="6:18" x14ac:dyDescent="0.3">
      <c r="F714" t="str">
        <f>IF(A714="","",4*AVERAGE($E$7:E714))</f>
        <v/>
      </c>
      <c r="R714" t="str">
        <f>IF(L714="","",6*AVERAGE($Q$7:Q714))</f>
        <v/>
      </c>
    </row>
    <row r="715" spans="6:18" x14ac:dyDescent="0.3">
      <c r="F715" t="str">
        <f>IF(A715="","",4*AVERAGE($E$7:E715))</f>
        <v/>
      </c>
      <c r="R715" t="str">
        <f>IF(L715="","",6*AVERAGE($Q$7:Q715))</f>
        <v/>
      </c>
    </row>
    <row r="716" spans="6:18" x14ac:dyDescent="0.3">
      <c r="F716" t="str">
        <f>IF(A716="","",4*AVERAGE($E$7:E716))</f>
        <v/>
      </c>
      <c r="R716" t="str">
        <f>IF(L716="","",6*AVERAGE($Q$7:Q716))</f>
        <v/>
      </c>
    </row>
    <row r="717" spans="6:18" x14ac:dyDescent="0.3">
      <c r="F717" t="str">
        <f>IF(A717="","",4*AVERAGE($E$7:E717))</f>
        <v/>
      </c>
      <c r="R717" t="str">
        <f>IF(L717="","",6*AVERAGE($Q$7:Q717))</f>
        <v/>
      </c>
    </row>
    <row r="718" spans="6:18" x14ac:dyDescent="0.3">
      <c r="F718" t="str">
        <f>IF(A718="","",4*AVERAGE($E$7:E718))</f>
        <v/>
      </c>
      <c r="R718" t="str">
        <f>IF(L718="","",6*AVERAGE($Q$7:Q718))</f>
        <v/>
      </c>
    </row>
    <row r="719" spans="6:18" x14ac:dyDescent="0.3">
      <c r="F719" t="str">
        <f>IF(A719="","",4*AVERAGE($E$7:E719))</f>
        <v/>
      </c>
      <c r="R719" t="str">
        <f>IF(L719="","",6*AVERAGE($Q$7:Q719))</f>
        <v/>
      </c>
    </row>
    <row r="720" spans="6:18" x14ac:dyDescent="0.3">
      <c r="F720" t="str">
        <f>IF(A720="","",4*AVERAGE($E$7:E720))</f>
        <v/>
      </c>
      <c r="R720" t="str">
        <f>IF(L720="","",6*AVERAGE($Q$7:Q720))</f>
        <v/>
      </c>
    </row>
    <row r="721" spans="6:18" x14ac:dyDescent="0.3">
      <c r="F721" t="str">
        <f>IF(A721="","",4*AVERAGE($E$7:E721))</f>
        <v/>
      </c>
      <c r="R721" t="str">
        <f>IF(L721="","",6*AVERAGE($Q$7:Q721))</f>
        <v/>
      </c>
    </row>
    <row r="722" spans="6:18" x14ac:dyDescent="0.3">
      <c r="F722" t="str">
        <f>IF(A722="","",4*AVERAGE($E$7:E722))</f>
        <v/>
      </c>
      <c r="R722" t="str">
        <f>IF(L722="","",6*AVERAGE($Q$7:Q722))</f>
        <v/>
      </c>
    </row>
    <row r="723" spans="6:18" x14ac:dyDescent="0.3">
      <c r="F723" t="str">
        <f>IF(A723="","",4*AVERAGE($E$7:E723))</f>
        <v/>
      </c>
      <c r="R723" t="str">
        <f>IF(L723="","",6*AVERAGE($Q$7:Q723))</f>
        <v/>
      </c>
    </row>
    <row r="724" spans="6:18" x14ac:dyDescent="0.3">
      <c r="F724" t="str">
        <f>IF(A724="","",4*AVERAGE($E$7:E724))</f>
        <v/>
      </c>
      <c r="R724" t="str">
        <f>IF(L724="","",6*AVERAGE($Q$7:Q724))</f>
        <v/>
      </c>
    </row>
    <row r="725" spans="6:18" x14ac:dyDescent="0.3">
      <c r="F725" t="str">
        <f>IF(A725="","",4*AVERAGE($E$7:E725))</f>
        <v/>
      </c>
      <c r="R725" t="str">
        <f>IF(L725="","",6*AVERAGE($Q$7:Q725))</f>
        <v/>
      </c>
    </row>
    <row r="726" spans="6:18" x14ac:dyDescent="0.3">
      <c r="F726" t="str">
        <f>IF(A726="","",4*AVERAGE($E$7:E726))</f>
        <v/>
      </c>
      <c r="R726" t="str">
        <f>IF(L726="","",6*AVERAGE($Q$7:Q726))</f>
        <v/>
      </c>
    </row>
    <row r="727" spans="6:18" x14ac:dyDescent="0.3">
      <c r="F727" t="str">
        <f>IF(A727="","",4*AVERAGE($E$7:E727))</f>
        <v/>
      </c>
      <c r="R727" t="str">
        <f>IF(L727="","",6*AVERAGE($Q$7:Q727))</f>
        <v/>
      </c>
    </row>
    <row r="728" spans="6:18" x14ac:dyDescent="0.3">
      <c r="F728" t="str">
        <f>IF(A728="","",4*AVERAGE($E$7:E728))</f>
        <v/>
      </c>
      <c r="R728" t="str">
        <f>IF(L728="","",6*AVERAGE($Q$7:Q728))</f>
        <v/>
      </c>
    </row>
    <row r="729" spans="6:18" x14ac:dyDescent="0.3">
      <c r="F729" t="str">
        <f>IF(A729="","",4*AVERAGE($E$7:E729))</f>
        <v/>
      </c>
      <c r="R729" t="str">
        <f>IF(L729="","",6*AVERAGE($Q$7:Q729))</f>
        <v/>
      </c>
    </row>
    <row r="730" spans="6:18" x14ac:dyDescent="0.3">
      <c r="F730" t="str">
        <f>IF(A730="","",4*AVERAGE($E$7:E730))</f>
        <v/>
      </c>
      <c r="R730" t="str">
        <f>IF(L730="","",6*AVERAGE($Q$7:Q730))</f>
        <v/>
      </c>
    </row>
    <row r="731" spans="6:18" x14ac:dyDescent="0.3">
      <c r="F731" t="str">
        <f>IF(A731="","",4*AVERAGE($E$7:E731))</f>
        <v/>
      </c>
      <c r="R731" t="str">
        <f>IF(L731="","",6*AVERAGE($Q$7:Q731))</f>
        <v/>
      </c>
    </row>
    <row r="732" spans="6:18" x14ac:dyDescent="0.3">
      <c r="F732" t="str">
        <f>IF(A732="","",4*AVERAGE($E$7:E732))</f>
        <v/>
      </c>
      <c r="R732" t="str">
        <f>IF(L732="","",6*AVERAGE($Q$7:Q732))</f>
        <v/>
      </c>
    </row>
    <row r="733" spans="6:18" x14ac:dyDescent="0.3">
      <c r="F733" t="str">
        <f>IF(A733="","",4*AVERAGE($E$7:E733))</f>
        <v/>
      </c>
      <c r="R733" t="str">
        <f>IF(L733="","",6*AVERAGE($Q$7:Q733))</f>
        <v/>
      </c>
    </row>
    <row r="734" spans="6:18" x14ac:dyDescent="0.3">
      <c r="F734" t="str">
        <f>IF(A734="","",4*AVERAGE($E$7:E734))</f>
        <v/>
      </c>
      <c r="R734" t="str">
        <f>IF(L734="","",6*AVERAGE($Q$7:Q734))</f>
        <v/>
      </c>
    </row>
    <row r="735" spans="6:18" x14ac:dyDescent="0.3">
      <c r="F735" t="str">
        <f>IF(A735="","",4*AVERAGE($E$7:E735))</f>
        <v/>
      </c>
      <c r="R735" t="str">
        <f>IF(L735="","",6*AVERAGE($Q$7:Q735))</f>
        <v/>
      </c>
    </row>
    <row r="736" spans="6:18" x14ac:dyDescent="0.3">
      <c r="F736" t="str">
        <f>IF(A736="","",4*AVERAGE($E$7:E736))</f>
        <v/>
      </c>
      <c r="R736" t="str">
        <f>IF(L736="","",6*AVERAGE($Q$7:Q736))</f>
        <v/>
      </c>
    </row>
    <row r="737" spans="6:18" x14ac:dyDescent="0.3">
      <c r="F737" t="str">
        <f>IF(A737="","",4*AVERAGE($E$7:E737))</f>
        <v/>
      </c>
      <c r="R737" t="str">
        <f>IF(L737="","",6*AVERAGE($Q$7:Q737))</f>
        <v/>
      </c>
    </row>
    <row r="738" spans="6:18" x14ac:dyDescent="0.3">
      <c r="F738" t="str">
        <f>IF(A738="","",4*AVERAGE($E$7:E738))</f>
        <v/>
      </c>
      <c r="R738" t="str">
        <f>IF(L738="","",6*AVERAGE($Q$7:Q738))</f>
        <v/>
      </c>
    </row>
    <row r="739" spans="6:18" x14ac:dyDescent="0.3">
      <c r="F739" t="str">
        <f>IF(A739="","",4*AVERAGE($E$7:E739))</f>
        <v/>
      </c>
      <c r="R739" t="str">
        <f>IF(L739="","",6*AVERAGE($Q$7:Q739))</f>
        <v/>
      </c>
    </row>
    <row r="740" spans="6:18" x14ac:dyDescent="0.3">
      <c r="F740" t="str">
        <f>IF(A740="","",4*AVERAGE($E$7:E740))</f>
        <v/>
      </c>
      <c r="R740" t="str">
        <f>IF(L740="","",6*AVERAGE($Q$7:Q740))</f>
        <v/>
      </c>
    </row>
    <row r="741" spans="6:18" x14ac:dyDescent="0.3">
      <c r="F741" t="str">
        <f>IF(A741="","",4*AVERAGE($E$7:E741))</f>
        <v/>
      </c>
      <c r="R741" t="str">
        <f>IF(L741="","",6*AVERAGE($Q$7:Q741))</f>
        <v/>
      </c>
    </row>
    <row r="742" spans="6:18" x14ac:dyDescent="0.3">
      <c r="F742" t="str">
        <f>IF(A742="","",4*AVERAGE($E$7:E742))</f>
        <v/>
      </c>
      <c r="R742" t="str">
        <f>IF(L742="","",6*AVERAGE($Q$7:Q742))</f>
        <v/>
      </c>
    </row>
    <row r="743" spans="6:18" x14ac:dyDescent="0.3">
      <c r="F743" t="str">
        <f>IF(A743="","",4*AVERAGE($E$7:E743))</f>
        <v/>
      </c>
      <c r="R743" t="str">
        <f>IF(L743="","",6*AVERAGE($Q$7:Q743))</f>
        <v/>
      </c>
    </row>
    <row r="744" spans="6:18" x14ac:dyDescent="0.3">
      <c r="F744" t="str">
        <f>IF(A744="","",4*AVERAGE($E$7:E744))</f>
        <v/>
      </c>
      <c r="R744" t="str">
        <f>IF(L744="","",6*AVERAGE($Q$7:Q744))</f>
        <v/>
      </c>
    </row>
    <row r="745" spans="6:18" x14ac:dyDescent="0.3">
      <c r="F745" t="str">
        <f>IF(A745="","",4*AVERAGE($E$7:E745))</f>
        <v/>
      </c>
      <c r="R745" t="str">
        <f>IF(L745="","",6*AVERAGE($Q$7:Q745))</f>
        <v/>
      </c>
    </row>
    <row r="746" spans="6:18" x14ac:dyDescent="0.3">
      <c r="F746" t="str">
        <f>IF(A746="","",4*AVERAGE($E$7:E746))</f>
        <v/>
      </c>
      <c r="R746" t="str">
        <f>IF(L746="","",6*AVERAGE($Q$7:Q746))</f>
        <v/>
      </c>
    </row>
    <row r="747" spans="6:18" x14ac:dyDescent="0.3">
      <c r="F747" t="str">
        <f>IF(A747="","",4*AVERAGE($E$7:E747))</f>
        <v/>
      </c>
      <c r="R747" t="str">
        <f>IF(L747="","",6*AVERAGE($Q$7:Q747))</f>
        <v/>
      </c>
    </row>
    <row r="748" spans="6:18" x14ac:dyDescent="0.3">
      <c r="F748" t="str">
        <f>IF(A748="","",4*AVERAGE($E$7:E748))</f>
        <v/>
      </c>
      <c r="R748" t="str">
        <f>IF(L748="","",6*AVERAGE($Q$7:Q748))</f>
        <v/>
      </c>
    </row>
    <row r="749" spans="6:18" x14ac:dyDescent="0.3">
      <c r="F749" t="str">
        <f>IF(A749="","",4*AVERAGE($E$7:E749))</f>
        <v/>
      </c>
      <c r="R749" t="str">
        <f>IF(L749="","",6*AVERAGE($Q$7:Q749))</f>
        <v/>
      </c>
    </row>
    <row r="750" spans="6:18" x14ac:dyDescent="0.3">
      <c r="F750" t="str">
        <f>IF(A750="","",4*AVERAGE($E$7:E750))</f>
        <v/>
      </c>
      <c r="R750" t="str">
        <f>IF(L750="","",6*AVERAGE($Q$7:Q750))</f>
        <v/>
      </c>
    </row>
    <row r="751" spans="6:18" x14ac:dyDescent="0.3">
      <c r="F751" t="str">
        <f>IF(A751="","",4*AVERAGE($E$7:E751))</f>
        <v/>
      </c>
      <c r="R751" t="str">
        <f>IF(L751="","",6*AVERAGE($Q$7:Q751))</f>
        <v/>
      </c>
    </row>
    <row r="752" spans="6:18" x14ac:dyDescent="0.3">
      <c r="F752" t="str">
        <f>IF(A752="","",4*AVERAGE($E$7:E752))</f>
        <v/>
      </c>
      <c r="R752" t="str">
        <f>IF(L752="","",6*AVERAGE($Q$7:Q752))</f>
        <v/>
      </c>
    </row>
    <row r="753" spans="6:18" x14ac:dyDescent="0.3">
      <c r="F753" t="str">
        <f>IF(A753="","",4*AVERAGE($E$7:E753))</f>
        <v/>
      </c>
      <c r="R753" t="str">
        <f>IF(L753="","",6*AVERAGE($Q$7:Q753))</f>
        <v/>
      </c>
    </row>
    <row r="754" spans="6:18" x14ac:dyDescent="0.3">
      <c r="F754" t="str">
        <f>IF(A754="","",4*AVERAGE($E$7:E754))</f>
        <v/>
      </c>
      <c r="R754" t="str">
        <f>IF(L754="","",6*AVERAGE($Q$7:Q754))</f>
        <v/>
      </c>
    </row>
    <row r="755" spans="6:18" x14ac:dyDescent="0.3">
      <c r="F755" t="str">
        <f>IF(A755="","",4*AVERAGE($E$7:E755))</f>
        <v/>
      </c>
      <c r="R755" t="str">
        <f>IF(L755="","",6*AVERAGE($Q$7:Q755))</f>
        <v/>
      </c>
    </row>
    <row r="756" spans="6:18" x14ac:dyDescent="0.3">
      <c r="F756" t="str">
        <f>IF(A756="","",4*AVERAGE($E$7:E756))</f>
        <v/>
      </c>
      <c r="R756" t="str">
        <f>IF(L756="","",6*AVERAGE($Q$7:Q756))</f>
        <v/>
      </c>
    </row>
    <row r="757" spans="6:18" x14ac:dyDescent="0.3">
      <c r="F757" t="str">
        <f>IF(A757="","",4*AVERAGE($E$7:E757))</f>
        <v/>
      </c>
      <c r="R757" t="str">
        <f>IF(L757="","",6*AVERAGE($Q$7:Q757))</f>
        <v/>
      </c>
    </row>
    <row r="758" spans="6:18" x14ac:dyDescent="0.3">
      <c r="F758" t="str">
        <f>IF(A758="","",4*AVERAGE($E$7:E758))</f>
        <v/>
      </c>
      <c r="R758" t="str">
        <f>IF(L758="","",6*AVERAGE($Q$7:Q758))</f>
        <v/>
      </c>
    </row>
    <row r="759" spans="6:18" x14ac:dyDescent="0.3">
      <c r="F759" t="str">
        <f>IF(A759="","",4*AVERAGE($E$7:E759))</f>
        <v/>
      </c>
      <c r="R759" t="str">
        <f>IF(L759="","",6*AVERAGE($Q$7:Q759))</f>
        <v/>
      </c>
    </row>
    <row r="760" spans="6:18" x14ac:dyDescent="0.3">
      <c r="F760" t="str">
        <f>IF(A760="","",4*AVERAGE($E$7:E760))</f>
        <v/>
      </c>
      <c r="R760" t="str">
        <f>IF(L760="","",6*AVERAGE($Q$7:Q760))</f>
        <v/>
      </c>
    </row>
    <row r="761" spans="6:18" x14ac:dyDescent="0.3">
      <c r="F761" t="str">
        <f>IF(A761="","",4*AVERAGE($E$7:E761))</f>
        <v/>
      </c>
      <c r="R761" t="str">
        <f>IF(L761="","",6*AVERAGE($Q$7:Q761))</f>
        <v/>
      </c>
    </row>
    <row r="762" spans="6:18" x14ac:dyDescent="0.3">
      <c r="F762" t="str">
        <f>IF(A762="","",4*AVERAGE($E$7:E762))</f>
        <v/>
      </c>
      <c r="R762" t="str">
        <f>IF(L762="","",6*AVERAGE($Q$7:Q762))</f>
        <v/>
      </c>
    </row>
    <row r="763" spans="6:18" x14ac:dyDescent="0.3">
      <c r="F763" t="str">
        <f>IF(A763="","",4*AVERAGE($E$7:E763))</f>
        <v/>
      </c>
      <c r="R763" t="str">
        <f>IF(L763="","",6*AVERAGE($Q$7:Q763))</f>
        <v/>
      </c>
    </row>
    <row r="764" spans="6:18" x14ac:dyDescent="0.3">
      <c r="F764" t="str">
        <f>IF(A764="","",4*AVERAGE($E$7:E764))</f>
        <v/>
      </c>
      <c r="R764" t="str">
        <f>IF(L764="","",6*AVERAGE($Q$7:Q764))</f>
        <v/>
      </c>
    </row>
    <row r="765" spans="6:18" x14ac:dyDescent="0.3">
      <c r="F765" t="str">
        <f>IF(A765="","",4*AVERAGE($E$7:E765))</f>
        <v/>
      </c>
      <c r="R765" t="str">
        <f>IF(L765="","",6*AVERAGE($Q$7:Q765))</f>
        <v/>
      </c>
    </row>
    <row r="766" spans="6:18" x14ac:dyDescent="0.3">
      <c r="F766" t="str">
        <f>IF(A766="","",4*AVERAGE($E$7:E766))</f>
        <v/>
      </c>
      <c r="R766" t="str">
        <f>IF(L766="","",6*AVERAGE($Q$7:Q766))</f>
        <v/>
      </c>
    </row>
    <row r="767" spans="6:18" x14ac:dyDescent="0.3">
      <c r="F767" t="str">
        <f>IF(A767="","",4*AVERAGE($E$7:E767))</f>
        <v/>
      </c>
      <c r="R767" t="str">
        <f>IF(L767="","",6*AVERAGE($Q$7:Q767))</f>
        <v/>
      </c>
    </row>
    <row r="768" spans="6:18" x14ac:dyDescent="0.3">
      <c r="F768" t="str">
        <f>IF(A768="","",4*AVERAGE($E$7:E768))</f>
        <v/>
      </c>
      <c r="R768" t="str">
        <f>IF(L768="","",6*AVERAGE($Q$7:Q768))</f>
        <v/>
      </c>
    </row>
    <row r="769" spans="6:18" x14ac:dyDescent="0.3">
      <c r="F769" t="str">
        <f>IF(A769="","",4*AVERAGE($E$7:E769))</f>
        <v/>
      </c>
      <c r="R769" t="str">
        <f>IF(L769="","",6*AVERAGE($Q$7:Q769))</f>
        <v/>
      </c>
    </row>
    <row r="770" spans="6:18" x14ac:dyDescent="0.3">
      <c r="F770" t="str">
        <f>IF(A770="","",4*AVERAGE($E$7:E770))</f>
        <v/>
      </c>
      <c r="R770" t="str">
        <f>IF(L770="","",6*AVERAGE($Q$7:Q770))</f>
        <v/>
      </c>
    </row>
    <row r="771" spans="6:18" x14ac:dyDescent="0.3">
      <c r="F771" t="str">
        <f>IF(A771="","",4*AVERAGE($E$7:E771))</f>
        <v/>
      </c>
      <c r="R771" t="str">
        <f>IF(L771="","",6*AVERAGE($Q$7:Q771))</f>
        <v/>
      </c>
    </row>
    <row r="772" spans="6:18" x14ac:dyDescent="0.3">
      <c r="F772" t="str">
        <f>IF(A772="","",4*AVERAGE($E$7:E772))</f>
        <v/>
      </c>
      <c r="R772" t="str">
        <f>IF(L772="","",6*AVERAGE($Q$7:Q772))</f>
        <v/>
      </c>
    </row>
    <row r="773" spans="6:18" x14ac:dyDescent="0.3">
      <c r="F773" t="str">
        <f>IF(A773="","",4*AVERAGE($E$7:E773))</f>
        <v/>
      </c>
      <c r="R773" t="str">
        <f>IF(L773="","",6*AVERAGE($Q$7:Q773))</f>
        <v/>
      </c>
    </row>
    <row r="774" spans="6:18" x14ac:dyDescent="0.3">
      <c r="F774" t="str">
        <f>IF(A774="","",4*AVERAGE($E$7:E774))</f>
        <v/>
      </c>
      <c r="R774" t="str">
        <f>IF(L774="","",6*AVERAGE($Q$7:Q774))</f>
        <v/>
      </c>
    </row>
    <row r="775" spans="6:18" x14ac:dyDescent="0.3">
      <c r="F775" t="str">
        <f>IF(A775="","",4*AVERAGE($E$7:E775))</f>
        <v/>
      </c>
      <c r="R775" t="str">
        <f>IF(L775="","",6*AVERAGE($Q$7:Q775))</f>
        <v/>
      </c>
    </row>
    <row r="776" spans="6:18" x14ac:dyDescent="0.3">
      <c r="F776" t="str">
        <f>IF(A776="","",4*AVERAGE($E$7:E776))</f>
        <v/>
      </c>
      <c r="R776" t="str">
        <f>IF(L776="","",6*AVERAGE($Q$7:Q776))</f>
        <v/>
      </c>
    </row>
    <row r="777" spans="6:18" x14ac:dyDescent="0.3">
      <c r="F777" t="str">
        <f>IF(A777="","",4*AVERAGE($E$7:E777))</f>
        <v/>
      </c>
      <c r="R777" t="str">
        <f>IF(L777="","",6*AVERAGE($Q$7:Q777))</f>
        <v/>
      </c>
    </row>
    <row r="778" spans="6:18" x14ac:dyDescent="0.3">
      <c r="F778" t="str">
        <f>IF(A778="","",4*AVERAGE($E$7:E778))</f>
        <v/>
      </c>
      <c r="R778" t="str">
        <f>IF(L778="","",6*AVERAGE($Q$7:Q778))</f>
        <v/>
      </c>
    </row>
    <row r="779" spans="6:18" x14ac:dyDescent="0.3">
      <c r="F779" t="str">
        <f>IF(A779="","",4*AVERAGE($E$7:E779))</f>
        <v/>
      </c>
      <c r="R779" t="str">
        <f>IF(L779="","",6*AVERAGE($Q$7:Q779))</f>
        <v/>
      </c>
    </row>
    <row r="780" spans="6:18" x14ac:dyDescent="0.3">
      <c r="F780" t="str">
        <f>IF(A780="","",4*AVERAGE($E$7:E780))</f>
        <v/>
      </c>
      <c r="R780" t="str">
        <f>IF(L780="","",6*AVERAGE($Q$7:Q780))</f>
        <v/>
      </c>
    </row>
    <row r="781" spans="6:18" x14ac:dyDescent="0.3">
      <c r="F781" t="str">
        <f>IF(A781="","",4*AVERAGE($E$7:E781))</f>
        <v/>
      </c>
      <c r="R781" t="str">
        <f>IF(L781="","",6*AVERAGE($Q$7:Q781))</f>
        <v/>
      </c>
    </row>
    <row r="782" spans="6:18" x14ac:dyDescent="0.3">
      <c r="F782" t="str">
        <f>IF(A782="","",4*AVERAGE($E$7:E782))</f>
        <v/>
      </c>
      <c r="R782" t="str">
        <f>IF(L782="","",6*AVERAGE($Q$7:Q782))</f>
        <v/>
      </c>
    </row>
    <row r="783" spans="6:18" x14ac:dyDescent="0.3">
      <c r="F783" t="str">
        <f>IF(A783="","",4*AVERAGE($E$7:E783))</f>
        <v/>
      </c>
      <c r="R783" t="str">
        <f>IF(L783="","",6*AVERAGE($Q$7:Q783))</f>
        <v/>
      </c>
    </row>
    <row r="784" spans="6:18" x14ac:dyDescent="0.3">
      <c r="F784" t="str">
        <f>IF(A784="","",4*AVERAGE($E$7:E784))</f>
        <v/>
      </c>
      <c r="R784" t="str">
        <f>IF(L784="","",6*AVERAGE($Q$7:Q784))</f>
        <v/>
      </c>
    </row>
    <row r="785" spans="6:18" x14ac:dyDescent="0.3">
      <c r="F785" t="str">
        <f>IF(A785="","",4*AVERAGE($E$7:E785))</f>
        <v/>
      </c>
      <c r="R785" t="str">
        <f>IF(L785="","",6*AVERAGE($Q$7:Q785))</f>
        <v/>
      </c>
    </row>
    <row r="786" spans="6:18" x14ac:dyDescent="0.3">
      <c r="F786" t="str">
        <f>IF(A786="","",4*AVERAGE($E$7:E786))</f>
        <v/>
      </c>
      <c r="R786" t="str">
        <f>IF(L786="","",6*AVERAGE($Q$7:Q786))</f>
        <v/>
      </c>
    </row>
    <row r="787" spans="6:18" x14ac:dyDescent="0.3">
      <c r="F787" t="str">
        <f>IF(A787="","",4*AVERAGE($E$7:E787))</f>
        <v/>
      </c>
      <c r="R787" t="str">
        <f>IF(L787="","",6*AVERAGE($Q$7:Q787))</f>
        <v/>
      </c>
    </row>
    <row r="788" spans="6:18" x14ac:dyDescent="0.3">
      <c r="F788" t="str">
        <f>IF(A788="","",4*AVERAGE($E$7:E788))</f>
        <v/>
      </c>
      <c r="R788" t="str">
        <f>IF(L788="","",6*AVERAGE($Q$7:Q788))</f>
        <v/>
      </c>
    </row>
    <row r="789" spans="6:18" x14ac:dyDescent="0.3">
      <c r="F789" t="str">
        <f>IF(A789="","",4*AVERAGE($E$7:E789))</f>
        <v/>
      </c>
      <c r="R789" t="str">
        <f>IF(L789="","",6*AVERAGE($Q$7:Q789))</f>
        <v/>
      </c>
    </row>
    <row r="790" spans="6:18" x14ac:dyDescent="0.3">
      <c r="F790" t="str">
        <f>IF(A790="","",4*AVERAGE($E$7:E790))</f>
        <v/>
      </c>
      <c r="R790" t="str">
        <f>IF(L790="","",6*AVERAGE($Q$7:Q790))</f>
        <v/>
      </c>
    </row>
    <row r="791" spans="6:18" x14ac:dyDescent="0.3">
      <c r="F791" t="str">
        <f>IF(A791="","",4*AVERAGE($E$7:E791))</f>
        <v/>
      </c>
      <c r="R791" t="str">
        <f>IF(L791="","",6*AVERAGE($Q$7:Q791))</f>
        <v/>
      </c>
    </row>
    <row r="792" spans="6:18" x14ac:dyDescent="0.3">
      <c r="F792" t="str">
        <f>IF(A792="","",4*AVERAGE($E$7:E792))</f>
        <v/>
      </c>
      <c r="R792" t="str">
        <f>IF(L792="","",6*AVERAGE($Q$7:Q792))</f>
        <v/>
      </c>
    </row>
    <row r="793" spans="6:18" x14ac:dyDescent="0.3">
      <c r="F793" t="str">
        <f>IF(A793="","",4*AVERAGE($E$7:E793))</f>
        <v/>
      </c>
      <c r="R793" t="str">
        <f>IF(L793="","",6*AVERAGE($Q$7:Q793))</f>
        <v/>
      </c>
    </row>
    <row r="794" spans="6:18" x14ac:dyDescent="0.3">
      <c r="F794" t="str">
        <f>IF(A794="","",4*AVERAGE($E$7:E794))</f>
        <v/>
      </c>
      <c r="R794" t="str">
        <f>IF(L794="","",6*AVERAGE($Q$7:Q794))</f>
        <v/>
      </c>
    </row>
    <row r="795" spans="6:18" x14ac:dyDescent="0.3">
      <c r="F795" t="str">
        <f>IF(A795="","",4*AVERAGE($E$7:E795))</f>
        <v/>
      </c>
      <c r="R795" t="str">
        <f>IF(L795="","",6*AVERAGE($Q$7:Q795))</f>
        <v/>
      </c>
    </row>
    <row r="796" spans="6:18" x14ac:dyDescent="0.3">
      <c r="F796" t="str">
        <f>IF(A796="","",4*AVERAGE($E$7:E796))</f>
        <v/>
      </c>
      <c r="R796" t="str">
        <f>IF(L796="","",6*AVERAGE($Q$7:Q796))</f>
        <v/>
      </c>
    </row>
    <row r="797" spans="6:18" x14ac:dyDescent="0.3">
      <c r="F797" t="str">
        <f>IF(A797="","",4*AVERAGE($E$7:E797))</f>
        <v/>
      </c>
      <c r="R797" t="str">
        <f>IF(L797="","",6*AVERAGE($Q$7:Q797))</f>
        <v/>
      </c>
    </row>
    <row r="798" spans="6:18" x14ac:dyDescent="0.3">
      <c r="F798" t="str">
        <f>IF(A798="","",4*AVERAGE($E$7:E798))</f>
        <v/>
      </c>
      <c r="R798" t="str">
        <f>IF(L798="","",6*AVERAGE($Q$7:Q798))</f>
        <v/>
      </c>
    </row>
    <row r="799" spans="6:18" x14ac:dyDescent="0.3">
      <c r="F799" t="str">
        <f>IF(A799="","",4*AVERAGE($E$7:E799))</f>
        <v/>
      </c>
      <c r="R799" t="str">
        <f>IF(L799="","",6*AVERAGE($Q$7:Q799))</f>
        <v/>
      </c>
    </row>
    <row r="800" spans="6:18" x14ac:dyDescent="0.3">
      <c r="F800" t="str">
        <f>IF(A800="","",4*AVERAGE($E$7:E800))</f>
        <v/>
      </c>
      <c r="R800" t="str">
        <f>IF(L800="","",6*AVERAGE($Q$7:Q800))</f>
        <v/>
      </c>
    </row>
    <row r="801" spans="6:18" x14ac:dyDescent="0.3">
      <c r="F801" t="str">
        <f>IF(A801="","",4*AVERAGE($E$7:E801))</f>
        <v/>
      </c>
      <c r="R801" t="str">
        <f>IF(L801="","",6*AVERAGE($Q$7:Q801))</f>
        <v/>
      </c>
    </row>
    <row r="802" spans="6:18" x14ac:dyDescent="0.3">
      <c r="F802" t="str">
        <f>IF(A802="","",4*AVERAGE($E$7:E802))</f>
        <v/>
      </c>
      <c r="R802" t="str">
        <f>IF(L802="","",6*AVERAGE($Q$7:Q802))</f>
        <v/>
      </c>
    </row>
    <row r="803" spans="6:18" x14ac:dyDescent="0.3">
      <c r="F803" t="str">
        <f>IF(A803="","",4*AVERAGE($E$7:E803))</f>
        <v/>
      </c>
      <c r="R803" t="str">
        <f>IF(L803="","",6*AVERAGE($Q$7:Q803))</f>
        <v/>
      </c>
    </row>
    <row r="804" spans="6:18" x14ac:dyDescent="0.3">
      <c r="F804" t="str">
        <f>IF(A804="","",4*AVERAGE($E$7:E804))</f>
        <v/>
      </c>
      <c r="R804" t="str">
        <f>IF(L804="","",6*AVERAGE($Q$7:Q804))</f>
        <v/>
      </c>
    </row>
    <row r="805" spans="6:18" x14ac:dyDescent="0.3">
      <c r="F805" t="str">
        <f>IF(A805="","",4*AVERAGE($E$7:E805))</f>
        <v/>
      </c>
      <c r="R805" t="str">
        <f>IF(L805="","",6*AVERAGE($Q$7:Q805))</f>
        <v/>
      </c>
    </row>
    <row r="806" spans="6:18" x14ac:dyDescent="0.3">
      <c r="F806" t="str">
        <f>IF(A806="","",4*AVERAGE($E$7:E806))</f>
        <v/>
      </c>
      <c r="R806" t="str">
        <f>IF(L806="","",6*AVERAGE($Q$7:Q806))</f>
        <v/>
      </c>
    </row>
    <row r="807" spans="6:18" x14ac:dyDescent="0.3">
      <c r="F807" t="str">
        <f>IF(A807="","",4*AVERAGE($E$7:E807))</f>
        <v/>
      </c>
      <c r="R807" t="str">
        <f>IF(L807="","",6*AVERAGE($Q$7:Q807))</f>
        <v/>
      </c>
    </row>
    <row r="808" spans="6:18" x14ac:dyDescent="0.3">
      <c r="F808" t="str">
        <f>IF(A808="","",4*AVERAGE($E$7:E808))</f>
        <v/>
      </c>
      <c r="R808" t="str">
        <f>IF(L808="","",6*AVERAGE($Q$7:Q808))</f>
        <v/>
      </c>
    </row>
    <row r="809" spans="6:18" x14ac:dyDescent="0.3">
      <c r="F809" t="str">
        <f>IF(A809="","",4*AVERAGE($E$7:E809))</f>
        <v/>
      </c>
      <c r="R809" t="str">
        <f>IF(L809="","",6*AVERAGE($Q$7:Q809))</f>
        <v/>
      </c>
    </row>
    <row r="810" spans="6:18" x14ac:dyDescent="0.3">
      <c r="F810" t="str">
        <f>IF(A810="","",4*AVERAGE($E$7:E810))</f>
        <v/>
      </c>
      <c r="R810" t="str">
        <f>IF(L810="","",6*AVERAGE($Q$7:Q810))</f>
        <v/>
      </c>
    </row>
    <row r="811" spans="6:18" x14ac:dyDescent="0.3">
      <c r="F811" t="str">
        <f>IF(A811="","",4*AVERAGE($E$7:E811))</f>
        <v/>
      </c>
      <c r="R811" t="str">
        <f>IF(L811="","",6*AVERAGE($Q$7:Q811))</f>
        <v/>
      </c>
    </row>
    <row r="812" spans="6:18" x14ac:dyDescent="0.3">
      <c r="F812" t="str">
        <f>IF(A812="","",4*AVERAGE($E$7:E812))</f>
        <v/>
      </c>
      <c r="R812" t="str">
        <f>IF(L812="","",6*AVERAGE($Q$7:Q812))</f>
        <v/>
      </c>
    </row>
    <row r="813" spans="6:18" x14ac:dyDescent="0.3">
      <c r="F813" t="str">
        <f>IF(A813="","",4*AVERAGE($E$7:E813))</f>
        <v/>
      </c>
      <c r="R813" t="str">
        <f>IF(L813="","",6*AVERAGE($Q$7:Q813))</f>
        <v/>
      </c>
    </row>
    <row r="814" spans="6:18" x14ac:dyDescent="0.3">
      <c r="F814" t="str">
        <f>IF(A814="","",4*AVERAGE($E$7:E814))</f>
        <v/>
      </c>
      <c r="R814" t="str">
        <f>IF(L814="","",6*AVERAGE($Q$7:Q814))</f>
        <v/>
      </c>
    </row>
    <row r="815" spans="6:18" x14ac:dyDescent="0.3">
      <c r="F815" t="str">
        <f>IF(A815="","",4*AVERAGE($E$7:E815))</f>
        <v/>
      </c>
      <c r="R815" t="str">
        <f>IF(L815="","",6*AVERAGE($Q$7:Q815))</f>
        <v/>
      </c>
    </row>
    <row r="816" spans="6:18" x14ac:dyDescent="0.3">
      <c r="F816" t="str">
        <f>IF(A816="","",4*AVERAGE($E$7:E816))</f>
        <v/>
      </c>
      <c r="R816" t="str">
        <f>IF(L816="","",6*AVERAGE($Q$7:Q816))</f>
        <v/>
      </c>
    </row>
    <row r="817" spans="6:18" x14ac:dyDescent="0.3">
      <c r="F817" t="str">
        <f>IF(A817="","",4*AVERAGE($E$7:E817))</f>
        <v/>
      </c>
      <c r="R817" t="str">
        <f>IF(L817="","",6*AVERAGE($Q$7:Q817))</f>
        <v/>
      </c>
    </row>
    <row r="818" spans="6:18" x14ac:dyDescent="0.3">
      <c r="F818" t="str">
        <f>IF(A818="","",4*AVERAGE($E$7:E818))</f>
        <v/>
      </c>
      <c r="R818" t="str">
        <f>IF(L818="","",6*AVERAGE($Q$7:Q818))</f>
        <v/>
      </c>
    </row>
    <row r="819" spans="6:18" x14ac:dyDescent="0.3">
      <c r="F819" t="str">
        <f>IF(A819="","",4*AVERAGE($E$7:E819))</f>
        <v/>
      </c>
      <c r="R819" t="str">
        <f>IF(L819="","",6*AVERAGE($Q$7:Q819))</f>
        <v/>
      </c>
    </row>
    <row r="820" spans="6:18" x14ac:dyDescent="0.3">
      <c r="F820" t="str">
        <f>IF(A820="","",4*AVERAGE($E$7:E820))</f>
        <v/>
      </c>
      <c r="R820" t="str">
        <f>IF(L820="","",6*AVERAGE($Q$7:Q820))</f>
        <v/>
      </c>
    </row>
    <row r="821" spans="6:18" x14ac:dyDescent="0.3">
      <c r="F821" t="str">
        <f>IF(A821="","",4*AVERAGE($E$7:E821))</f>
        <v/>
      </c>
      <c r="R821" t="str">
        <f>IF(L821="","",6*AVERAGE($Q$7:Q821))</f>
        <v/>
      </c>
    </row>
    <row r="822" spans="6:18" x14ac:dyDescent="0.3">
      <c r="F822" t="str">
        <f>IF(A822="","",4*AVERAGE($E$7:E822))</f>
        <v/>
      </c>
      <c r="R822" t="str">
        <f>IF(L822="","",6*AVERAGE($Q$7:Q822))</f>
        <v/>
      </c>
    </row>
    <row r="823" spans="6:18" x14ac:dyDescent="0.3">
      <c r="F823" t="str">
        <f>IF(A823="","",4*AVERAGE($E$7:E823))</f>
        <v/>
      </c>
      <c r="R823" t="str">
        <f>IF(L823="","",6*AVERAGE($Q$7:Q823))</f>
        <v/>
      </c>
    </row>
    <row r="824" spans="6:18" x14ac:dyDescent="0.3">
      <c r="F824" t="str">
        <f>IF(A824="","",4*AVERAGE($E$7:E824))</f>
        <v/>
      </c>
      <c r="R824" t="str">
        <f>IF(L824="","",6*AVERAGE($Q$7:Q824))</f>
        <v/>
      </c>
    </row>
    <row r="825" spans="6:18" x14ac:dyDescent="0.3">
      <c r="F825" t="str">
        <f>IF(A825="","",4*AVERAGE($E$7:E825))</f>
        <v/>
      </c>
      <c r="R825" t="str">
        <f>IF(L825="","",6*AVERAGE($Q$7:Q825))</f>
        <v/>
      </c>
    </row>
    <row r="826" spans="6:18" x14ac:dyDescent="0.3">
      <c r="F826" t="str">
        <f>IF(A826="","",4*AVERAGE($E$7:E826))</f>
        <v/>
      </c>
      <c r="R826" t="str">
        <f>IF(L826="","",6*AVERAGE($Q$7:Q826))</f>
        <v/>
      </c>
    </row>
    <row r="827" spans="6:18" x14ac:dyDescent="0.3">
      <c r="F827" t="str">
        <f>IF(A827="","",4*AVERAGE($E$7:E827))</f>
        <v/>
      </c>
      <c r="R827" t="str">
        <f>IF(L827="","",6*AVERAGE($Q$7:Q827))</f>
        <v/>
      </c>
    </row>
    <row r="828" spans="6:18" x14ac:dyDescent="0.3">
      <c r="F828" t="str">
        <f>IF(A828="","",4*AVERAGE($E$7:E828))</f>
        <v/>
      </c>
      <c r="R828" t="str">
        <f>IF(L828="","",6*AVERAGE($Q$7:Q828))</f>
        <v/>
      </c>
    </row>
    <row r="829" spans="6:18" x14ac:dyDescent="0.3">
      <c r="F829" t="str">
        <f>IF(A829="","",4*AVERAGE($E$7:E829))</f>
        <v/>
      </c>
      <c r="R829" t="str">
        <f>IF(L829="","",6*AVERAGE($Q$7:Q829))</f>
        <v/>
      </c>
    </row>
    <row r="830" spans="6:18" x14ac:dyDescent="0.3">
      <c r="F830" t="str">
        <f>IF(A830="","",4*AVERAGE($E$7:E830))</f>
        <v/>
      </c>
      <c r="R830" t="str">
        <f>IF(L830="","",6*AVERAGE($Q$7:Q830))</f>
        <v/>
      </c>
    </row>
    <row r="831" spans="6:18" x14ac:dyDescent="0.3">
      <c r="F831" t="str">
        <f>IF(A831="","",4*AVERAGE($E$7:E831))</f>
        <v/>
      </c>
      <c r="R831" t="str">
        <f>IF(L831="","",6*AVERAGE($Q$7:Q831))</f>
        <v/>
      </c>
    </row>
    <row r="832" spans="6:18" x14ac:dyDescent="0.3">
      <c r="F832" t="str">
        <f>IF(A832="","",4*AVERAGE($E$7:E832))</f>
        <v/>
      </c>
      <c r="R832" t="str">
        <f>IF(L832="","",6*AVERAGE($Q$7:Q832))</f>
        <v/>
      </c>
    </row>
    <row r="833" spans="6:18" x14ac:dyDescent="0.3">
      <c r="F833" t="str">
        <f>IF(A833="","",4*AVERAGE($E$7:E833))</f>
        <v/>
      </c>
      <c r="R833" t="str">
        <f>IF(L833="","",6*AVERAGE($Q$7:Q833))</f>
        <v/>
      </c>
    </row>
    <row r="834" spans="6:18" x14ac:dyDescent="0.3">
      <c r="F834" t="str">
        <f>IF(A834="","",4*AVERAGE($E$7:E834))</f>
        <v/>
      </c>
      <c r="R834" t="str">
        <f>IF(L834="","",6*AVERAGE($Q$7:Q834))</f>
        <v/>
      </c>
    </row>
    <row r="835" spans="6:18" x14ac:dyDescent="0.3">
      <c r="F835" t="str">
        <f>IF(A835="","",4*AVERAGE($E$7:E835))</f>
        <v/>
      </c>
      <c r="R835" t="str">
        <f>IF(L835="","",6*AVERAGE($Q$7:Q835))</f>
        <v/>
      </c>
    </row>
    <row r="836" spans="6:18" x14ac:dyDescent="0.3">
      <c r="F836" t="str">
        <f>IF(A836="","",4*AVERAGE($E$7:E836))</f>
        <v/>
      </c>
      <c r="R836" t="str">
        <f>IF(L836="","",6*AVERAGE($Q$7:Q836))</f>
        <v/>
      </c>
    </row>
    <row r="837" spans="6:18" x14ac:dyDescent="0.3">
      <c r="F837" t="str">
        <f>IF(A837="","",4*AVERAGE($E$7:E837))</f>
        <v/>
      </c>
      <c r="R837" t="str">
        <f>IF(L837="","",6*AVERAGE($Q$7:Q837))</f>
        <v/>
      </c>
    </row>
    <row r="838" spans="6:18" x14ac:dyDescent="0.3">
      <c r="F838" t="str">
        <f>IF(A838="","",4*AVERAGE($E$7:E838))</f>
        <v/>
      </c>
      <c r="R838" t="str">
        <f>IF(L838="","",6*AVERAGE($Q$7:Q838))</f>
        <v/>
      </c>
    </row>
    <row r="839" spans="6:18" x14ac:dyDescent="0.3">
      <c r="F839" t="str">
        <f>IF(A839="","",4*AVERAGE($E$7:E839))</f>
        <v/>
      </c>
      <c r="R839" t="str">
        <f>IF(L839="","",6*AVERAGE($Q$7:Q839))</f>
        <v/>
      </c>
    </row>
    <row r="840" spans="6:18" x14ac:dyDescent="0.3">
      <c r="F840" t="str">
        <f>IF(A840="","",4*AVERAGE($E$7:E840))</f>
        <v/>
      </c>
      <c r="R840" t="str">
        <f>IF(L840="","",6*AVERAGE($Q$7:Q840))</f>
        <v/>
      </c>
    </row>
    <row r="841" spans="6:18" x14ac:dyDescent="0.3">
      <c r="F841" t="str">
        <f>IF(A841="","",4*AVERAGE($E$7:E841))</f>
        <v/>
      </c>
      <c r="R841" t="str">
        <f>IF(L841="","",6*AVERAGE($Q$7:Q841))</f>
        <v/>
      </c>
    </row>
    <row r="842" spans="6:18" x14ac:dyDescent="0.3">
      <c r="F842" t="str">
        <f>IF(A842="","",4*AVERAGE($E$7:E842))</f>
        <v/>
      </c>
      <c r="R842" t="str">
        <f>IF(L842="","",6*AVERAGE($Q$7:Q842))</f>
        <v/>
      </c>
    </row>
    <row r="843" spans="6:18" x14ac:dyDescent="0.3">
      <c r="F843" t="str">
        <f>IF(A843="","",4*AVERAGE($E$7:E843))</f>
        <v/>
      </c>
      <c r="R843" t="str">
        <f>IF(L843="","",6*AVERAGE($Q$7:Q843))</f>
        <v/>
      </c>
    </row>
    <row r="844" spans="6:18" x14ac:dyDescent="0.3">
      <c r="F844" t="str">
        <f>IF(A844="","",4*AVERAGE($E$7:E844))</f>
        <v/>
      </c>
      <c r="R844" t="str">
        <f>IF(L844="","",6*AVERAGE($Q$7:Q844))</f>
        <v/>
      </c>
    </row>
    <row r="845" spans="6:18" x14ac:dyDescent="0.3">
      <c r="F845" t="str">
        <f>IF(A845="","",4*AVERAGE($E$7:E845))</f>
        <v/>
      </c>
      <c r="R845" t="str">
        <f>IF(L845="","",6*AVERAGE($Q$7:Q845))</f>
        <v/>
      </c>
    </row>
    <row r="846" spans="6:18" x14ac:dyDescent="0.3">
      <c r="F846" t="str">
        <f>IF(A846="","",4*AVERAGE($E$7:E846))</f>
        <v/>
      </c>
      <c r="R846" t="str">
        <f>IF(L846="","",6*AVERAGE($Q$7:Q846))</f>
        <v/>
      </c>
    </row>
    <row r="847" spans="6:18" x14ac:dyDescent="0.3">
      <c r="F847" t="str">
        <f>IF(A847="","",4*AVERAGE($E$7:E847))</f>
        <v/>
      </c>
      <c r="R847" t="str">
        <f>IF(L847="","",6*AVERAGE($Q$7:Q847))</f>
        <v/>
      </c>
    </row>
    <row r="848" spans="6:18" x14ac:dyDescent="0.3">
      <c r="F848" t="str">
        <f>IF(A848="","",4*AVERAGE($E$7:E848))</f>
        <v/>
      </c>
      <c r="R848" t="str">
        <f>IF(L848="","",6*AVERAGE($Q$7:Q848))</f>
        <v/>
      </c>
    </row>
    <row r="849" spans="6:18" x14ac:dyDescent="0.3">
      <c r="F849" t="str">
        <f>IF(A849="","",4*AVERAGE($E$7:E849))</f>
        <v/>
      </c>
      <c r="R849" t="str">
        <f>IF(L849="","",6*AVERAGE($Q$7:Q849))</f>
        <v/>
      </c>
    </row>
    <row r="850" spans="6:18" x14ac:dyDescent="0.3">
      <c r="F850" t="str">
        <f>IF(A850="","",4*AVERAGE($E$7:E850))</f>
        <v/>
      </c>
      <c r="R850" t="str">
        <f>IF(L850="","",6*AVERAGE($Q$7:Q850))</f>
        <v/>
      </c>
    </row>
    <row r="851" spans="6:18" x14ac:dyDescent="0.3">
      <c r="F851" t="str">
        <f>IF(A851="","",4*AVERAGE($E$7:E851))</f>
        <v/>
      </c>
      <c r="R851" t="str">
        <f>IF(L851="","",6*AVERAGE($Q$7:Q851))</f>
        <v/>
      </c>
    </row>
    <row r="852" spans="6:18" x14ac:dyDescent="0.3">
      <c r="F852" t="str">
        <f>IF(A852="","",4*AVERAGE($E$7:E852))</f>
        <v/>
      </c>
      <c r="R852" t="str">
        <f>IF(L852="","",6*AVERAGE($Q$7:Q852))</f>
        <v/>
      </c>
    </row>
    <row r="853" spans="6:18" x14ac:dyDescent="0.3">
      <c r="F853" t="str">
        <f>IF(A853="","",4*AVERAGE($E$7:E853))</f>
        <v/>
      </c>
      <c r="R853" t="str">
        <f>IF(L853="","",6*AVERAGE($Q$7:Q853))</f>
        <v/>
      </c>
    </row>
    <row r="854" spans="6:18" x14ac:dyDescent="0.3">
      <c r="F854" t="str">
        <f>IF(A854="","",4*AVERAGE($E$7:E854))</f>
        <v/>
      </c>
      <c r="R854" t="str">
        <f>IF(L854="","",6*AVERAGE($Q$7:Q854))</f>
        <v/>
      </c>
    </row>
    <row r="855" spans="6:18" x14ac:dyDescent="0.3">
      <c r="F855" t="str">
        <f>IF(A855="","",4*AVERAGE($E$7:E855))</f>
        <v/>
      </c>
      <c r="R855" t="str">
        <f>IF(L855="","",6*AVERAGE($Q$7:Q855))</f>
        <v/>
      </c>
    </row>
    <row r="856" spans="6:18" x14ac:dyDescent="0.3">
      <c r="F856" t="str">
        <f>IF(A856="","",4*AVERAGE($E$7:E856))</f>
        <v/>
      </c>
      <c r="R856" t="str">
        <f>IF(L856="","",6*AVERAGE($Q$7:Q856))</f>
        <v/>
      </c>
    </row>
    <row r="857" spans="6:18" x14ac:dyDescent="0.3">
      <c r="F857" t="str">
        <f>IF(A857="","",4*AVERAGE($E$7:E857))</f>
        <v/>
      </c>
      <c r="R857" t="str">
        <f>IF(L857="","",6*AVERAGE($Q$7:Q857))</f>
        <v/>
      </c>
    </row>
    <row r="858" spans="6:18" x14ac:dyDescent="0.3">
      <c r="F858" t="str">
        <f>IF(A858="","",4*AVERAGE($E$7:E858))</f>
        <v/>
      </c>
      <c r="R858" t="str">
        <f>IF(L858="","",6*AVERAGE($Q$7:Q858))</f>
        <v/>
      </c>
    </row>
    <row r="859" spans="6:18" x14ac:dyDescent="0.3">
      <c r="F859" t="str">
        <f>IF(A859="","",4*AVERAGE($E$7:E859))</f>
        <v/>
      </c>
      <c r="R859" t="str">
        <f>IF(L859="","",6*AVERAGE($Q$7:Q859))</f>
        <v/>
      </c>
    </row>
    <row r="860" spans="6:18" x14ac:dyDescent="0.3">
      <c r="F860" t="str">
        <f>IF(A860="","",4*AVERAGE($E$7:E860))</f>
        <v/>
      </c>
      <c r="R860" t="str">
        <f>IF(L860="","",6*AVERAGE($Q$7:Q860))</f>
        <v/>
      </c>
    </row>
    <row r="861" spans="6:18" x14ac:dyDescent="0.3">
      <c r="F861" t="str">
        <f>IF(A861="","",4*AVERAGE($E$7:E861))</f>
        <v/>
      </c>
      <c r="R861" t="str">
        <f>IF(L861="","",6*AVERAGE($Q$7:Q861))</f>
        <v/>
      </c>
    </row>
    <row r="862" spans="6:18" x14ac:dyDescent="0.3">
      <c r="F862" t="str">
        <f>IF(A862="","",4*AVERAGE($E$7:E862))</f>
        <v/>
      </c>
      <c r="R862" t="str">
        <f>IF(L862="","",6*AVERAGE($Q$7:Q862))</f>
        <v/>
      </c>
    </row>
    <row r="863" spans="6:18" x14ac:dyDescent="0.3">
      <c r="F863" t="str">
        <f>IF(A863="","",4*AVERAGE($E$7:E863))</f>
        <v/>
      </c>
      <c r="R863" t="str">
        <f>IF(L863="","",6*AVERAGE($Q$7:Q863))</f>
        <v/>
      </c>
    </row>
    <row r="864" spans="6:18" x14ac:dyDescent="0.3">
      <c r="F864" t="str">
        <f>IF(A864="","",4*AVERAGE($E$7:E864))</f>
        <v/>
      </c>
      <c r="R864" t="str">
        <f>IF(L864="","",6*AVERAGE($Q$7:Q864))</f>
        <v/>
      </c>
    </row>
    <row r="865" spans="6:18" x14ac:dyDescent="0.3">
      <c r="F865" t="str">
        <f>IF(A865="","",4*AVERAGE($E$7:E865))</f>
        <v/>
      </c>
      <c r="R865" t="str">
        <f>IF(L865="","",6*AVERAGE($Q$7:Q865))</f>
        <v/>
      </c>
    </row>
    <row r="866" spans="6:18" x14ac:dyDescent="0.3">
      <c r="F866" t="str">
        <f>IF(A866="","",4*AVERAGE($E$7:E866))</f>
        <v/>
      </c>
      <c r="R866" t="str">
        <f>IF(L866="","",6*AVERAGE($Q$7:Q866))</f>
        <v/>
      </c>
    </row>
    <row r="867" spans="6:18" x14ac:dyDescent="0.3">
      <c r="F867" t="str">
        <f>IF(A867="","",4*AVERAGE($E$7:E867))</f>
        <v/>
      </c>
      <c r="R867" t="str">
        <f>IF(L867="","",6*AVERAGE($Q$7:Q867))</f>
        <v/>
      </c>
    </row>
    <row r="868" spans="6:18" x14ac:dyDescent="0.3">
      <c r="F868" t="str">
        <f>IF(A868="","",4*AVERAGE($E$7:E868))</f>
        <v/>
      </c>
      <c r="R868" t="str">
        <f>IF(L868="","",6*AVERAGE($Q$7:Q868))</f>
        <v/>
      </c>
    </row>
    <row r="869" spans="6:18" x14ac:dyDescent="0.3">
      <c r="F869" t="str">
        <f>IF(A869="","",4*AVERAGE($E$7:E869))</f>
        <v/>
      </c>
      <c r="R869" t="str">
        <f>IF(L869="","",6*AVERAGE($Q$7:Q869))</f>
        <v/>
      </c>
    </row>
    <row r="870" spans="6:18" x14ac:dyDescent="0.3">
      <c r="F870" t="str">
        <f>IF(A870="","",4*AVERAGE($E$7:E870))</f>
        <v/>
      </c>
      <c r="R870" t="str">
        <f>IF(L870="","",6*AVERAGE($Q$7:Q870))</f>
        <v/>
      </c>
    </row>
    <row r="871" spans="6:18" x14ac:dyDescent="0.3">
      <c r="F871" t="str">
        <f>IF(A871="","",4*AVERAGE($E$7:E871))</f>
        <v/>
      </c>
      <c r="R871" t="str">
        <f>IF(L871="","",6*AVERAGE($Q$7:Q871))</f>
        <v/>
      </c>
    </row>
    <row r="872" spans="6:18" x14ac:dyDescent="0.3">
      <c r="F872" t="str">
        <f>IF(A872="","",4*AVERAGE($E$7:E872))</f>
        <v/>
      </c>
      <c r="R872" t="str">
        <f>IF(L872="","",6*AVERAGE($Q$7:Q872))</f>
        <v/>
      </c>
    </row>
    <row r="873" spans="6:18" x14ac:dyDescent="0.3">
      <c r="F873" t="str">
        <f>IF(A873="","",4*AVERAGE($E$7:E873))</f>
        <v/>
      </c>
      <c r="R873" t="str">
        <f>IF(L873="","",6*AVERAGE($Q$7:Q873))</f>
        <v/>
      </c>
    </row>
    <row r="874" spans="6:18" x14ac:dyDescent="0.3">
      <c r="F874" t="str">
        <f>IF(A874="","",4*AVERAGE($E$7:E874))</f>
        <v/>
      </c>
      <c r="R874" t="str">
        <f>IF(L874="","",6*AVERAGE($Q$7:Q874))</f>
        <v/>
      </c>
    </row>
    <row r="875" spans="6:18" x14ac:dyDescent="0.3">
      <c r="F875" t="str">
        <f>IF(A875="","",4*AVERAGE($E$7:E875))</f>
        <v/>
      </c>
      <c r="R875" t="str">
        <f>IF(L875="","",6*AVERAGE($Q$7:Q875))</f>
        <v/>
      </c>
    </row>
    <row r="876" spans="6:18" x14ac:dyDescent="0.3">
      <c r="F876" t="str">
        <f>IF(A876="","",4*AVERAGE($E$7:E876))</f>
        <v/>
      </c>
      <c r="R876" t="str">
        <f>IF(L876="","",6*AVERAGE($Q$7:Q876))</f>
        <v/>
      </c>
    </row>
    <row r="877" spans="6:18" x14ac:dyDescent="0.3">
      <c r="F877" t="str">
        <f>IF(A877="","",4*AVERAGE($E$7:E877))</f>
        <v/>
      </c>
      <c r="R877" t="str">
        <f>IF(L877="","",6*AVERAGE($Q$7:Q877))</f>
        <v/>
      </c>
    </row>
    <row r="878" spans="6:18" x14ac:dyDescent="0.3">
      <c r="F878" t="str">
        <f>IF(A878="","",4*AVERAGE($E$7:E878))</f>
        <v/>
      </c>
      <c r="R878" t="str">
        <f>IF(L878="","",6*AVERAGE($Q$7:Q878))</f>
        <v/>
      </c>
    </row>
    <row r="879" spans="6:18" x14ac:dyDescent="0.3">
      <c r="F879" t="str">
        <f>IF(A879="","",4*AVERAGE($E$7:E879))</f>
        <v/>
      </c>
      <c r="R879" t="str">
        <f>IF(L879="","",6*AVERAGE($Q$7:Q879))</f>
        <v/>
      </c>
    </row>
    <row r="880" spans="6:18" x14ac:dyDescent="0.3">
      <c r="F880" t="str">
        <f>IF(A880="","",4*AVERAGE($E$7:E880))</f>
        <v/>
      </c>
      <c r="R880" t="str">
        <f>IF(L880="","",6*AVERAGE($Q$7:Q880))</f>
        <v/>
      </c>
    </row>
    <row r="881" spans="6:18" x14ac:dyDescent="0.3">
      <c r="F881" t="str">
        <f>IF(A881="","",4*AVERAGE($E$7:E881))</f>
        <v/>
      </c>
      <c r="R881" t="str">
        <f>IF(L881="","",6*AVERAGE($Q$7:Q881))</f>
        <v/>
      </c>
    </row>
    <row r="882" spans="6:18" x14ac:dyDescent="0.3">
      <c r="F882" t="str">
        <f>IF(A882="","",4*AVERAGE($E$7:E882))</f>
        <v/>
      </c>
      <c r="R882" t="str">
        <f>IF(L882="","",6*AVERAGE($Q$7:Q882))</f>
        <v/>
      </c>
    </row>
    <row r="883" spans="6:18" x14ac:dyDescent="0.3">
      <c r="F883" t="str">
        <f>IF(A883="","",4*AVERAGE($E$7:E883))</f>
        <v/>
      </c>
      <c r="R883" t="str">
        <f>IF(L883="","",6*AVERAGE($Q$7:Q883))</f>
        <v/>
      </c>
    </row>
    <row r="884" spans="6:18" x14ac:dyDescent="0.3">
      <c r="F884" t="str">
        <f>IF(A884="","",4*AVERAGE($E$7:E884))</f>
        <v/>
      </c>
      <c r="R884" t="str">
        <f>IF(L884="","",6*AVERAGE($Q$7:Q884))</f>
        <v/>
      </c>
    </row>
    <row r="885" spans="6:18" x14ac:dyDescent="0.3">
      <c r="F885" t="str">
        <f>IF(A885="","",4*AVERAGE($E$7:E885))</f>
        <v/>
      </c>
      <c r="R885" t="str">
        <f>IF(L885="","",6*AVERAGE($Q$7:Q885))</f>
        <v/>
      </c>
    </row>
    <row r="886" spans="6:18" x14ac:dyDescent="0.3">
      <c r="F886" t="str">
        <f>IF(A886="","",4*AVERAGE($E$7:E886))</f>
        <v/>
      </c>
      <c r="R886" t="str">
        <f>IF(L886="","",6*AVERAGE($Q$7:Q886))</f>
        <v/>
      </c>
    </row>
    <row r="887" spans="6:18" x14ac:dyDescent="0.3">
      <c r="F887" t="str">
        <f>IF(A887="","",4*AVERAGE($E$7:E887))</f>
        <v/>
      </c>
      <c r="R887" t="str">
        <f>IF(L887="","",6*AVERAGE($Q$7:Q887))</f>
        <v/>
      </c>
    </row>
    <row r="888" spans="6:18" x14ac:dyDescent="0.3">
      <c r="F888" t="str">
        <f>IF(A888="","",4*AVERAGE($E$7:E888))</f>
        <v/>
      </c>
      <c r="R888" t="str">
        <f>IF(L888="","",6*AVERAGE($Q$7:Q888))</f>
        <v/>
      </c>
    </row>
    <row r="889" spans="6:18" x14ac:dyDescent="0.3">
      <c r="F889" t="str">
        <f>IF(A889="","",4*AVERAGE($E$7:E889))</f>
        <v/>
      </c>
      <c r="R889" t="str">
        <f>IF(L889="","",6*AVERAGE($Q$7:Q889))</f>
        <v/>
      </c>
    </row>
    <row r="890" spans="6:18" x14ac:dyDescent="0.3">
      <c r="F890" t="str">
        <f>IF(A890="","",4*AVERAGE($E$7:E890))</f>
        <v/>
      </c>
      <c r="R890" t="str">
        <f>IF(L890="","",6*AVERAGE($Q$7:Q890))</f>
        <v/>
      </c>
    </row>
    <row r="891" spans="6:18" x14ac:dyDescent="0.3">
      <c r="F891" t="str">
        <f>IF(A891="","",4*AVERAGE($E$7:E891))</f>
        <v/>
      </c>
      <c r="R891" t="str">
        <f>IF(L891="","",6*AVERAGE($Q$7:Q891))</f>
        <v/>
      </c>
    </row>
    <row r="892" spans="6:18" x14ac:dyDescent="0.3">
      <c r="F892" t="str">
        <f>IF(A892="","",4*AVERAGE($E$7:E892))</f>
        <v/>
      </c>
      <c r="R892" t="str">
        <f>IF(L892="","",6*AVERAGE($Q$7:Q892))</f>
        <v/>
      </c>
    </row>
    <row r="893" spans="6:18" x14ac:dyDescent="0.3">
      <c r="F893" t="str">
        <f>IF(A893="","",4*AVERAGE($E$7:E893))</f>
        <v/>
      </c>
      <c r="R893" t="str">
        <f>IF(L893="","",6*AVERAGE($Q$7:Q893))</f>
        <v/>
      </c>
    </row>
    <row r="894" spans="6:18" x14ac:dyDescent="0.3">
      <c r="F894" t="str">
        <f>IF(A894="","",4*AVERAGE($E$7:E894))</f>
        <v/>
      </c>
      <c r="R894" t="str">
        <f>IF(L894="","",6*AVERAGE($Q$7:Q894))</f>
        <v/>
      </c>
    </row>
    <row r="895" spans="6:18" x14ac:dyDescent="0.3">
      <c r="F895" t="str">
        <f>IF(A895="","",4*AVERAGE($E$7:E895))</f>
        <v/>
      </c>
      <c r="R895" t="str">
        <f>IF(L895="","",6*AVERAGE($Q$7:Q895))</f>
        <v/>
      </c>
    </row>
    <row r="896" spans="6:18" x14ac:dyDescent="0.3">
      <c r="F896" t="str">
        <f>IF(A896="","",4*AVERAGE($E$7:E896))</f>
        <v/>
      </c>
      <c r="R896" t="str">
        <f>IF(L896="","",6*AVERAGE($Q$7:Q896))</f>
        <v/>
      </c>
    </row>
    <row r="897" spans="6:18" x14ac:dyDescent="0.3">
      <c r="F897" t="str">
        <f>IF(A897="","",4*AVERAGE($E$7:E897))</f>
        <v/>
      </c>
      <c r="R897" t="str">
        <f>IF(L897="","",6*AVERAGE($Q$7:Q897))</f>
        <v/>
      </c>
    </row>
    <row r="898" spans="6:18" x14ac:dyDescent="0.3">
      <c r="F898" t="str">
        <f>IF(A898="","",4*AVERAGE($E$7:E898))</f>
        <v/>
      </c>
      <c r="R898" t="str">
        <f>IF(L898="","",6*AVERAGE($Q$7:Q898))</f>
        <v/>
      </c>
    </row>
    <row r="899" spans="6:18" x14ac:dyDescent="0.3">
      <c r="F899" t="str">
        <f>IF(A899="","",4*AVERAGE($E$7:E899))</f>
        <v/>
      </c>
      <c r="R899" t="str">
        <f>IF(L899="","",6*AVERAGE($Q$7:Q899))</f>
        <v/>
      </c>
    </row>
    <row r="900" spans="6:18" x14ac:dyDescent="0.3">
      <c r="F900" t="str">
        <f>IF(A900="","",4*AVERAGE($E$7:E900))</f>
        <v/>
      </c>
      <c r="R900" t="str">
        <f>IF(L900="","",6*AVERAGE($Q$7:Q900))</f>
        <v/>
      </c>
    </row>
    <row r="901" spans="6:18" x14ac:dyDescent="0.3">
      <c r="F901" t="str">
        <f>IF(A901="","",4*AVERAGE($E$7:E901))</f>
        <v/>
      </c>
      <c r="R901" t="str">
        <f>IF(L901="","",6*AVERAGE($Q$7:Q901))</f>
        <v/>
      </c>
    </row>
    <row r="902" spans="6:18" x14ac:dyDescent="0.3">
      <c r="F902" t="str">
        <f>IF(A902="","",4*AVERAGE($E$7:E902))</f>
        <v/>
      </c>
      <c r="R902" t="str">
        <f>IF(L902="","",6*AVERAGE($Q$7:Q902))</f>
        <v/>
      </c>
    </row>
    <row r="903" spans="6:18" x14ac:dyDescent="0.3">
      <c r="F903" t="str">
        <f>IF(A903="","",4*AVERAGE($E$7:E903))</f>
        <v/>
      </c>
      <c r="R903" t="str">
        <f>IF(L903="","",6*AVERAGE($Q$7:Q903))</f>
        <v/>
      </c>
    </row>
    <row r="904" spans="6:18" x14ac:dyDescent="0.3">
      <c r="F904" t="str">
        <f>IF(A904="","",4*AVERAGE($E$7:E904))</f>
        <v/>
      </c>
      <c r="R904" t="str">
        <f>IF(L904="","",6*AVERAGE($Q$7:Q904))</f>
        <v/>
      </c>
    </row>
    <row r="905" spans="6:18" x14ac:dyDescent="0.3">
      <c r="F905" t="str">
        <f>IF(A905="","",4*AVERAGE($E$7:E905))</f>
        <v/>
      </c>
      <c r="R905" t="str">
        <f>IF(L905="","",6*AVERAGE($Q$7:Q905))</f>
        <v/>
      </c>
    </row>
    <row r="906" spans="6:18" x14ac:dyDescent="0.3">
      <c r="F906" t="str">
        <f>IF(A906="","",4*AVERAGE($E$7:E906))</f>
        <v/>
      </c>
      <c r="R906" t="str">
        <f>IF(L906="","",6*AVERAGE($Q$7:Q906))</f>
        <v/>
      </c>
    </row>
    <row r="907" spans="6:18" x14ac:dyDescent="0.3">
      <c r="F907" t="str">
        <f>IF(A907="","",4*AVERAGE($E$7:E907))</f>
        <v/>
      </c>
      <c r="R907" t="str">
        <f>IF(L907="","",6*AVERAGE($Q$7:Q907))</f>
        <v/>
      </c>
    </row>
    <row r="908" spans="6:18" x14ac:dyDescent="0.3">
      <c r="F908" t="str">
        <f>IF(A908="","",4*AVERAGE($E$7:E908))</f>
        <v/>
      </c>
      <c r="R908" t="str">
        <f>IF(L908="","",6*AVERAGE($Q$7:Q908))</f>
        <v/>
      </c>
    </row>
    <row r="909" spans="6:18" x14ac:dyDescent="0.3">
      <c r="F909" t="str">
        <f>IF(A909="","",4*AVERAGE($E$7:E909))</f>
        <v/>
      </c>
      <c r="R909" t="str">
        <f>IF(L909="","",6*AVERAGE($Q$7:Q909))</f>
        <v/>
      </c>
    </row>
    <row r="910" spans="6:18" x14ac:dyDescent="0.3">
      <c r="F910" t="str">
        <f>IF(A910="","",4*AVERAGE($E$7:E910))</f>
        <v/>
      </c>
      <c r="R910" t="str">
        <f>IF(L910="","",6*AVERAGE($Q$7:Q910))</f>
        <v/>
      </c>
    </row>
    <row r="911" spans="6:18" x14ac:dyDescent="0.3">
      <c r="F911" t="str">
        <f>IF(A911="","",4*AVERAGE($E$7:E911))</f>
        <v/>
      </c>
      <c r="R911" t="str">
        <f>IF(L911="","",6*AVERAGE($Q$7:Q911))</f>
        <v/>
      </c>
    </row>
    <row r="912" spans="6:18" x14ac:dyDescent="0.3">
      <c r="F912" t="str">
        <f>IF(A912="","",4*AVERAGE($E$7:E912))</f>
        <v/>
      </c>
      <c r="R912" t="str">
        <f>IF(L912="","",6*AVERAGE($Q$7:Q912))</f>
        <v/>
      </c>
    </row>
    <row r="913" spans="6:18" x14ac:dyDescent="0.3">
      <c r="F913" t="str">
        <f>IF(A913="","",4*AVERAGE($E$7:E913))</f>
        <v/>
      </c>
      <c r="R913" t="str">
        <f>IF(L913="","",6*AVERAGE($Q$7:Q913))</f>
        <v/>
      </c>
    </row>
    <row r="914" spans="6:18" x14ac:dyDescent="0.3">
      <c r="F914" t="str">
        <f>IF(A914="","",4*AVERAGE($E$7:E914))</f>
        <v/>
      </c>
      <c r="R914" t="str">
        <f>IF(L914="","",6*AVERAGE($Q$7:Q914))</f>
        <v/>
      </c>
    </row>
    <row r="915" spans="6:18" x14ac:dyDescent="0.3">
      <c r="F915" t="str">
        <f>IF(A915="","",4*AVERAGE($E$7:E915))</f>
        <v/>
      </c>
      <c r="R915" t="str">
        <f>IF(L915="","",6*AVERAGE($Q$7:Q915))</f>
        <v/>
      </c>
    </row>
    <row r="916" spans="6:18" x14ac:dyDescent="0.3">
      <c r="F916" t="str">
        <f>IF(A916="","",4*AVERAGE($E$7:E916))</f>
        <v/>
      </c>
      <c r="R916" t="str">
        <f>IF(L916="","",6*AVERAGE($Q$7:Q916))</f>
        <v/>
      </c>
    </row>
    <row r="917" spans="6:18" x14ac:dyDescent="0.3">
      <c r="F917" t="str">
        <f>IF(A917="","",4*AVERAGE($E$7:E917))</f>
        <v/>
      </c>
      <c r="R917" t="str">
        <f>IF(L917="","",6*AVERAGE($Q$7:Q917))</f>
        <v/>
      </c>
    </row>
    <row r="918" spans="6:18" x14ac:dyDescent="0.3">
      <c r="F918" t="str">
        <f>IF(A918="","",4*AVERAGE($E$7:E918))</f>
        <v/>
      </c>
      <c r="R918" t="str">
        <f>IF(L918="","",6*AVERAGE($Q$7:Q918))</f>
        <v/>
      </c>
    </row>
    <row r="919" spans="6:18" x14ac:dyDescent="0.3">
      <c r="F919" t="str">
        <f>IF(A919="","",4*AVERAGE($E$7:E919))</f>
        <v/>
      </c>
      <c r="R919" t="str">
        <f>IF(L919="","",6*AVERAGE($Q$7:Q919))</f>
        <v/>
      </c>
    </row>
    <row r="920" spans="6:18" x14ac:dyDescent="0.3">
      <c r="F920" t="str">
        <f>IF(A920="","",4*AVERAGE($E$7:E920))</f>
        <v/>
      </c>
      <c r="R920" t="str">
        <f>IF(L920="","",6*AVERAGE($Q$7:Q920))</f>
        <v/>
      </c>
    </row>
    <row r="921" spans="6:18" x14ac:dyDescent="0.3">
      <c r="F921" t="str">
        <f>IF(A921="","",4*AVERAGE($E$7:E921))</f>
        <v/>
      </c>
      <c r="R921" t="str">
        <f>IF(L921="","",6*AVERAGE($Q$7:Q921))</f>
        <v/>
      </c>
    </row>
    <row r="922" spans="6:18" x14ac:dyDescent="0.3">
      <c r="F922" t="str">
        <f>IF(A922="","",4*AVERAGE($E$7:E922))</f>
        <v/>
      </c>
      <c r="R922" t="str">
        <f>IF(L922="","",6*AVERAGE($Q$7:Q922))</f>
        <v/>
      </c>
    </row>
    <row r="923" spans="6:18" x14ac:dyDescent="0.3">
      <c r="F923" t="str">
        <f>IF(A923="","",4*AVERAGE($E$7:E923))</f>
        <v/>
      </c>
      <c r="R923" t="str">
        <f>IF(L923="","",6*AVERAGE($Q$7:Q923))</f>
        <v/>
      </c>
    </row>
    <row r="924" spans="6:18" x14ac:dyDescent="0.3">
      <c r="F924" t="str">
        <f>IF(A924="","",4*AVERAGE($E$7:E924))</f>
        <v/>
      </c>
      <c r="R924" t="str">
        <f>IF(L924="","",6*AVERAGE($Q$7:Q924))</f>
        <v/>
      </c>
    </row>
    <row r="925" spans="6:18" x14ac:dyDescent="0.3">
      <c r="F925" t="str">
        <f>IF(A925="","",4*AVERAGE($E$7:E925))</f>
        <v/>
      </c>
      <c r="R925" t="str">
        <f>IF(L925="","",6*AVERAGE($Q$7:Q925))</f>
        <v/>
      </c>
    </row>
    <row r="926" spans="6:18" x14ac:dyDescent="0.3">
      <c r="F926" t="str">
        <f>IF(A926="","",4*AVERAGE($E$7:E926))</f>
        <v/>
      </c>
      <c r="R926" t="str">
        <f>IF(L926="","",6*AVERAGE($Q$7:Q926))</f>
        <v/>
      </c>
    </row>
    <row r="927" spans="6:18" x14ac:dyDescent="0.3">
      <c r="F927" t="str">
        <f>IF(A927="","",4*AVERAGE($E$7:E927))</f>
        <v/>
      </c>
      <c r="R927" t="str">
        <f>IF(L927="","",6*AVERAGE($Q$7:Q927))</f>
        <v/>
      </c>
    </row>
    <row r="928" spans="6:18" x14ac:dyDescent="0.3">
      <c r="F928" t="str">
        <f>IF(A928="","",4*AVERAGE($E$7:E928))</f>
        <v/>
      </c>
      <c r="R928" t="str">
        <f>IF(L928="","",6*AVERAGE($Q$7:Q928))</f>
        <v/>
      </c>
    </row>
    <row r="929" spans="6:18" x14ac:dyDescent="0.3">
      <c r="F929" t="str">
        <f>IF(A929="","",4*AVERAGE($E$7:E929))</f>
        <v/>
      </c>
      <c r="R929" t="str">
        <f>IF(L929="","",6*AVERAGE($Q$7:Q929))</f>
        <v/>
      </c>
    </row>
    <row r="930" spans="6:18" x14ac:dyDescent="0.3">
      <c r="F930" t="str">
        <f>IF(A930="","",4*AVERAGE($E$7:E930))</f>
        <v/>
      </c>
      <c r="R930" t="str">
        <f>IF(L930="","",6*AVERAGE($Q$7:Q930))</f>
        <v/>
      </c>
    </row>
    <row r="931" spans="6:18" x14ac:dyDescent="0.3">
      <c r="F931" t="str">
        <f>IF(A931="","",4*AVERAGE($E$7:E931))</f>
        <v/>
      </c>
      <c r="R931" t="str">
        <f>IF(L931="","",6*AVERAGE($Q$7:Q931))</f>
        <v/>
      </c>
    </row>
    <row r="932" spans="6:18" x14ac:dyDescent="0.3">
      <c r="F932" t="str">
        <f>IF(A932="","",4*AVERAGE($E$7:E932))</f>
        <v/>
      </c>
      <c r="R932" t="str">
        <f>IF(L932="","",6*AVERAGE($Q$7:Q932))</f>
        <v/>
      </c>
    </row>
    <row r="933" spans="6:18" x14ac:dyDescent="0.3">
      <c r="F933" t="str">
        <f>IF(A933="","",4*AVERAGE($E$7:E933))</f>
        <v/>
      </c>
      <c r="R933" t="str">
        <f>IF(L933="","",6*AVERAGE($Q$7:Q933))</f>
        <v/>
      </c>
    </row>
    <row r="934" spans="6:18" x14ac:dyDescent="0.3">
      <c r="F934" t="str">
        <f>IF(A934="","",4*AVERAGE($E$7:E934))</f>
        <v/>
      </c>
      <c r="R934" t="str">
        <f>IF(L934="","",6*AVERAGE($Q$7:Q934))</f>
        <v/>
      </c>
    </row>
    <row r="935" spans="6:18" x14ac:dyDescent="0.3">
      <c r="F935" t="str">
        <f>IF(A935="","",4*AVERAGE($E$7:E935))</f>
        <v/>
      </c>
      <c r="R935" t="str">
        <f>IF(L935="","",6*AVERAGE($Q$7:Q935))</f>
        <v/>
      </c>
    </row>
    <row r="936" spans="6:18" x14ac:dyDescent="0.3">
      <c r="F936" t="str">
        <f>IF(A936="","",4*AVERAGE($E$7:E936))</f>
        <v/>
      </c>
      <c r="R936" t="str">
        <f>IF(L936="","",6*AVERAGE($Q$7:Q936))</f>
        <v/>
      </c>
    </row>
    <row r="937" spans="6:18" x14ac:dyDescent="0.3">
      <c r="F937" t="str">
        <f>IF(A937="","",4*AVERAGE($E$7:E937))</f>
        <v/>
      </c>
      <c r="R937" t="str">
        <f>IF(L937="","",6*AVERAGE($Q$7:Q937))</f>
        <v/>
      </c>
    </row>
    <row r="938" spans="6:18" x14ac:dyDescent="0.3">
      <c r="F938" t="str">
        <f>IF(A938="","",4*AVERAGE($E$7:E938))</f>
        <v/>
      </c>
      <c r="R938" t="str">
        <f>IF(L938="","",6*AVERAGE($Q$7:Q938))</f>
        <v/>
      </c>
    </row>
    <row r="939" spans="6:18" x14ac:dyDescent="0.3">
      <c r="F939" t="str">
        <f>IF(A939="","",4*AVERAGE($E$7:E939))</f>
        <v/>
      </c>
      <c r="R939" t="str">
        <f>IF(L939="","",6*AVERAGE($Q$7:Q939))</f>
        <v/>
      </c>
    </row>
    <row r="940" spans="6:18" x14ac:dyDescent="0.3">
      <c r="F940" t="str">
        <f>IF(A940="","",4*AVERAGE($E$7:E940))</f>
        <v/>
      </c>
      <c r="R940" t="str">
        <f>IF(L940="","",6*AVERAGE($Q$7:Q940))</f>
        <v/>
      </c>
    </row>
    <row r="941" spans="6:18" x14ac:dyDescent="0.3">
      <c r="F941" t="str">
        <f>IF(A941="","",4*AVERAGE($E$7:E941))</f>
        <v/>
      </c>
      <c r="R941" t="str">
        <f>IF(L941="","",6*AVERAGE($Q$7:Q941))</f>
        <v/>
      </c>
    </row>
    <row r="942" spans="6:18" x14ac:dyDescent="0.3">
      <c r="F942" t="str">
        <f>IF(A942="","",4*AVERAGE($E$7:E942))</f>
        <v/>
      </c>
      <c r="R942" t="str">
        <f>IF(L942="","",6*AVERAGE($Q$7:Q942))</f>
        <v/>
      </c>
    </row>
    <row r="943" spans="6:18" x14ac:dyDescent="0.3">
      <c r="F943" t="str">
        <f>IF(A943="","",4*AVERAGE($E$7:E943))</f>
        <v/>
      </c>
      <c r="R943" t="str">
        <f>IF(L943="","",6*AVERAGE($Q$7:Q943))</f>
        <v/>
      </c>
    </row>
    <row r="944" spans="6:18" x14ac:dyDescent="0.3">
      <c r="F944" t="str">
        <f>IF(A944="","",4*AVERAGE($E$7:E944))</f>
        <v/>
      </c>
      <c r="R944" t="str">
        <f>IF(L944="","",6*AVERAGE($Q$7:Q944))</f>
        <v/>
      </c>
    </row>
    <row r="945" spans="6:18" x14ac:dyDescent="0.3">
      <c r="F945" t="str">
        <f>IF(A945="","",4*AVERAGE($E$7:E945))</f>
        <v/>
      </c>
      <c r="R945" t="str">
        <f>IF(L945="","",6*AVERAGE($Q$7:Q945))</f>
        <v/>
      </c>
    </row>
    <row r="946" spans="6:18" x14ac:dyDescent="0.3">
      <c r="F946" t="str">
        <f>IF(A946="","",4*AVERAGE($E$7:E946))</f>
        <v/>
      </c>
      <c r="R946" t="str">
        <f>IF(L946="","",6*AVERAGE($Q$7:Q946))</f>
        <v/>
      </c>
    </row>
    <row r="947" spans="6:18" x14ac:dyDescent="0.3">
      <c r="F947" t="str">
        <f>IF(A947="","",4*AVERAGE($E$7:E947))</f>
        <v/>
      </c>
      <c r="R947" t="str">
        <f>IF(L947="","",6*AVERAGE($Q$7:Q947))</f>
        <v/>
      </c>
    </row>
    <row r="948" spans="6:18" x14ac:dyDescent="0.3">
      <c r="F948" t="str">
        <f>IF(A948="","",4*AVERAGE($E$7:E948))</f>
        <v/>
      </c>
      <c r="R948" t="str">
        <f>IF(L948="","",6*AVERAGE($Q$7:Q948))</f>
        <v/>
      </c>
    </row>
    <row r="949" spans="6:18" x14ac:dyDescent="0.3">
      <c r="F949" t="str">
        <f>IF(A949="","",4*AVERAGE($E$7:E949))</f>
        <v/>
      </c>
      <c r="R949" t="str">
        <f>IF(L949="","",6*AVERAGE($Q$7:Q949))</f>
        <v/>
      </c>
    </row>
    <row r="950" spans="6:18" x14ac:dyDescent="0.3">
      <c r="F950" t="str">
        <f>IF(A950="","",4*AVERAGE($E$7:E950))</f>
        <v/>
      </c>
      <c r="R950" t="str">
        <f>IF(L950="","",6*AVERAGE($Q$7:Q950))</f>
        <v/>
      </c>
    </row>
    <row r="951" spans="6:18" x14ac:dyDescent="0.3">
      <c r="F951" t="str">
        <f>IF(A951="","",4*AVERAGE($E$7:E951))</f>
        <v/>
      </c>
      <c r="R951" t="str">
        <f>IF(L951="","",6*AVERAGE($Q$7:Q951))</f>
        <v/>
      </c>
    </row>
    <row r="952" spans="6:18" x14ac:dyDescent="0.3">
      <c r="F952" t="str">
        <f>IF(A952="","",4*AVERAGE($E$7:E952))</f>
        <v/>
      </c>
      <c r="R952" t="str">
        <f>IF(L952="","",6*AVERAGE($Q$7:Q952))</f>
        <v/>
      </c>
    </row>
    <row r="953" spans="6:18" x14ac:dyDescent="0.3">
      <c r="F953" t="str">
        <f>IF(A953="","",4*AVERAGE($E$7:E953))</f>
        <v/>
      </c>
      <c r="R953" t="str">
        <f>IF(L953="","",6*AVERAGE($Q$7:Q953))</f>
        <v/>
      </c>
    </row>
    <row r="954" spans="6:18" x14ac:dyDescent="0.3">
      <c r="F954" t="str">
        <f>IF(A954="","",4*AVERAGE($E$7:E954))</f>
        <v/>
      </c>
      <c r="R954" t="str">
        <f>IF(L954="","",6*AVERAGE($Q$7:Q954))</f>
        <v/>
      </c>
    </row>
    <row r="955" spans="6:18" x14ac:dyDescent="0.3">
      <c r="F955" t="str">
        <f>IF(A955="","",4*AVERAGE($E$7:E955))</f>
        <v/>
      </c>
      <c r="R955" t="str">
        <f>IF(L955="","",6*AVERAGE($Q$7:Q955))</f>
        <v/>
      </c>
    </row>
    <row r="956" spans="6:18" x14ac:dyDescent="0.3">
      <c r="F956" t="str">
        <f>IF(A956="","",4*AVERAGE($E$7:E956))</f>
        <v/>
      </c>
      <c r="R956" t="str">
        <f>IF(L956="","",6*AVERAGE($Q$7:Q956))</f>
        <v/>
      </c>
    </row>
    <row r="957" spans="6:18" x14ac:dyDescent="0.3">
      <c r="F957" t="str">
        <f>IF(A957="","",4*AVERAGE($E$7:E957))</f>
        <v/>
      </c>
      <c r="R957" t="str">
        <f>IF(L957="","",6*AVERAGE($Q$7:Q957))</f>
        <v/>
      </c>
    </row>
    <row r="958" spans="6:18" x14ac:dyDescent="0.3">
      <c r="F958" t="str">
        <f>IF(A958="","",4*AVERAGE($E$7:E958))</f>
        <v/>
      </c>
      <c r="R958" t="str">
        <f>IF(L958="","",6*AVERAGE($Q$7:Q958))</f>
        <v/>
      </c>
    </row>
    <row r="959" spans="6:18" x14ac:dyDescent="0.3">
      <c r="F959" t="str">
        <f>IF(A959="","",4*AVERAGE($E$7:E959))</f>
        <v/>
      </c>
      <c r="R959" t="str">
        <f>IF(L959="","",6*AVERAGE($Q$7:Q959))</f>
        <v/>
      </c>
    </row>
    <row r="960" spans="6:18" x14ac:dyDescent="0.3">
      <c r="F960" t="str">
        <f>IF(A960="","",4*AVERAGE($E$7:E960))</f>
        <v/>
      </c>
      <c r="R960" t="str">
        <f>IF(L960="","",6*AVERAGE($Q$7:Q960))</f>
        <v/>
      </c>
    </row>
    <row r="961" spans="6:18" x14ac:dyDescent="0.3">
      <c r="F961" t="str">
        <f>IF(A961="","",4*AVERAGE($E$7:E961))</f>
        <v/>
      </c>
      <c r="R961" t="str">
        <f>IF(L961="","",6*AVERAGE($Q$7:Q961))</f>
        <v/>
      </c>
    </row>
    <row r="962" spans="6:18" x14ac:dyDescent="0.3">
      <c r="F962" t="str">
        <f>IF(A962="","",4*AVERAGE($E$7:E962))</f>
        <v/>
      </c>
      <c r="R962" t="str">
        <f>IF(L962="","",6*AVERAGE($Q$7:Q962))</f>
        <v/>
      </c>
    </row>
    <row r="963" spans="6:18" x14ac:dyDescent="0.3">
      <c r="F963" t="str">
        <f>IF(A963="","",4*AVERAGE($E$7:E963))</f>
        <v/>
      </c>
      <c r="R963" t="str">
        <f>IF(L963="","",6*AVERAGE($Q$7:Q963))</f>
        <v/>
      </c>
    </row>
    <row r="964" spans="6:18" x14ac:dyDescent="0.3">
      <c r="F964" t="str">
        <f>IF(A964="","",4*AVERAGE($E$7:E964))</f>
        <v/>
      </c>
      <c r="R964" t="str">
        <f>IF(L964="","",6*AVERAGE($Q$7:Q964))</f>
        <v/>
      </c>
    </row>
    <row r="965" spans="6:18" x14ac:dyDescent="0.3">
      <c r="F965" t="str">
        <f>IF(A965="","",4*AVERAGE($E$7:E965))</f>
        <v/>
      </c>
      <c r="R965" t="str">
        <f>IF(L965="","",6*AVERAGE($Q$7:Q965))</f>
        <v/>
      </c>
    </row>
    <row r="966" spans="6:18" x14ac:dyDescent="0.3">
      <c r="F966" t="str">
        <f>IF(A966="","",4*AVERAGE($E$7:E966))</f>
        <v/>
      </c>
      <c r="R966" t="str">
        <f>IF(L966="","",6*AVERAGE($Q$7:Q966))</f>
        <v/>
      </c>
    </row>
    <row r="967" spans="6:18" x14ac:dyDescent="0.3">
      <c r="F967" t="str">
        <f>IF(A967="","",4*AVERAGE($E$7:E967))</f>
        <v/>
      </c>
      <c r="R967" t="str">
        <f>IF(L967="","",6*AVERAGE($Q$7:Q967))</f>
        <v/>
      </c>
    </row>
    <row r="968" spans="6:18" x14ac:dyDescent="0.3">
      <c r="F968" t="str">
        <f>IF(A968="","",4*AVERAGE($E$7:E968))</f>
        <v/>
      </c>
      <c r="R968" t="str">
        <f>IF(L968="","",6*AVERAGE($Q$7:Q968))</f>
        <v/>
      </c>
    </row>
    <row r="969" spans="6:18" x14ac:dyDescent="0.3">
      <c r="F969" t="str">
        <f>IF(A969="","",4*AVERAGE($E$7:E969))</f>
        <v/>
      </c>
      <c r="R969" t="str">
        <f>IF(L969="","",6*AVERAGE($Q$7:Q969))</f>
        <v/>
      </c>
    </row>
    <row r="970" spans="6:18" x14ac:dyDescent="0.3">
      <c r="F970" t="str">
        <f>IF(A970="","",4*AVERAGE($E$7:E970))</f>
        <v/>
      </c>
      <c r="R970" t="str">
        <f>IF(L970="","",6*AVERAGE($Q$7:Q970))</f>
        <v/>
      </c>
    </row>
    <row r="971" spans="6:18" x14ac:dyDescent="0.3">
      <c r="F971" t="str">
        <f>IF(A971="","",4*AVERAGE($E$7:E971))</f>
        <v/>
      </c>
      <c r="R971" t="str">
        <f>IF(L971="","",6*AVERAGE($Q$7:Q971))</f>
        <v/>
      </c>
    </row>
    <row r="972" spans="6:18" x14ac:dyDescent="0.3">
      <c r="F972" t="str">
        <f>IF(A972="","",4*AVERAGE($E$7:E972))</f>
        <v/>
      </c>
      <c r="R972" t="str">
        <f>IF(L972="","",6*AVERAGE($Q$7:Q972))</f>
        <v/>
      </c>
    </row>
    <row r="973" spans="6:18" x14ac:dyDescent="0.3">
      <c r="F973" t="str">
        <f>IF(A973="","",4*AVERAGE($E$7:E973))</f>
        <v/>
      </c>
      <c r="R973" t="str">
        <f>IF(L973="","",6*AVERAGE($Q$7:Q973))</f>
        <v/>
      </c>
    </row>
    <row r="974" spans="6:18" x14ac:dyDescent="0.3">
      <c r="F974" t="str">
        <f>IF(A974="","",4*AVERAGE($E$7:E974))</f>
        <v/>
      </c>
      <c r="R974" t="str">
        <f>IF(L974="","",6*AVERAGE($Q$7:Q974))</f>
        <v/>
      </c>
    </row>
    <row r="975" spans="6:18" x14ac:dyDescent="0.3">
      <c r="F975" t="str">
        <f>IF(A975="","",4*AVERAGE($E$7:E975))</f>
        <v/>
      </c>
      <c r="R975" t="str">
        <f>IF(L975="","",6*AVERAGE($Q$7:Q975))</f>
        <v/>
      </c>
    </row>
    <row r="976" spans="6:18" x14ac:dyDescent="0.3">
      <c r="F976" t="str">
        <f>IF(A976="","",4*AVERAGE($E$7:E976))</f>
        <v/>
      </c>
      <c r="R976" t="str">
        <f>IF(L976="","",6*AVERAGE($Q$7:Q976))</f>
        <v/>
      </c>
    </row>
    <row r="977" spans="6:18" x14ac:dyDescent="0.3">
      <c r="F977" t="str">
        <f>IF(A977="","",4*AVERAGE($E$7:E977))</f>
        <v/>
      </c>
      <c r="R977" t="str">
        <f>IF(L977="","",6*AVERAGE($Q$7:Q977))</f>
        <v/>
      </c>
    </row>
    <row r="978" spans="6:18" x14ac:dyDescent="0.3">
      <c r="F978" t="str">
        <f>IF(A978="","",4*AVERAGE($E$7:E978))</f>
        <v/>
      </c>
      <c r="R978" t="str">
        <f>IF(L978="","",6*AVERAGE($Q$7:Q978))</f>
        <v/>
      </c>
    </row>
    <row r="979" spans="6:18" x14ac:dyDescent="0.3">
      <c r="F979" t="str">
        <f>IF(A979="","",4*AVERAGE($E$7:E979))</f>
        <v/>
      </c>
      <c r="R979" t="str">
        <f>IF(L979="","",6*AVERAGE($Q$7:Q979))</f>
        <v/>
      </c>
    </row>
    <row r="980" spans="6:18" x14ac:dyDescent="0.3">
      <c r="F980" t="str">
        <f>IF(A980="","",4*AVERAGE($E$7:E980))</f>
        <v/>
      </c>
      <c r="R980" t="str">
        <f>IF(L980="","",6*AVERAGE($Q$7:Q980))</f>
        <v/>
      </c>
    </row>
    <row r="981" spans="6:18" x14ac:dyDescent="0.3">
      <c r="F981" t="str">
        <f>IF(A981="","",4*AVERAGE($E$7:E981))</f>
        <v/>
      </c>
      <c r="R981" t="str">
        <f>IF(L981="","",6*AVERAGE($Q$7:Q981))</f>
        <v/>
      </c>
    </row>
    <row r="982" spans="6:18" x14ac:dyDescent="0.3">
      <c r="F982" t="str">
        <f>IF(A982="","",4*AVERAGE($E$7:E982))</f>
        <v/>
      </c>
      <c r="R982" t="str">
        <f>IF(L982="","",6*AVERAGE($Q$7:Q982))</f>
        <v/>
      </c>
    </row>
    <row r="983" spans="6:18" x14ac:dyDescent="0.3">
      <c r="F983" t="str">
        <f>IF(A983="","",4*AVERAGE($E$7:E983))</f>
        <v/>
      </c>
      <c r="R983" t="str">
        <f>IF(L983="","",6*AVERAGE($Q$7:Q983))</f>
        <v/>
      </c>
    </row>
    <row r="984" spans="6:18" x14ac:dyDescent="0.3">
      <c r="F984" t="str">
        <f>IF(A984="","",4*AVERAGE($E$7:E984))</f>
        <v/>
      </c>
      <c r="R984" t="str">
        <f>IF(L984="","",6*AVERAGE($Q$7:Q984))</f>
        <v/>
      </c>
    </row>
    <row r="985" spans="6:18" x14ac:dyDescent="0.3">
      <c r="F985" t="str">
        <f>IF(A985="","",4*AVERAGE($E$7:E985))</f>
        <v/>
      </c>
      <c r="R985" t="str">
        <f>IF(L985="","",6*AVERAGE($Q$7:Q985))</f>
        <v/>
      </c>
    </row>
    <row r="986" spans="6:18" x14ac:dyDescent="0.3">
      <c r="F986" t="str">
        <f>IF(A986="","",4*AVERAGE($E$7:E986))</f>
        <v/>
      </c>
      <c r="R986" t="str">
        <f>IF(L986="","",6*AVERAGE($Q$7:Q986))</f>
        <v/>
      </c>
    </row>
    <row r="987" spans="6:18" x14ac:dyDescent="0.3">
      <c r="F987" t="str">
        <f>IF(A987="","",4*AVERAGE($E$7:E987))</f>
        <v/>
      </c>
      <c r="R987" t="str">
        <f>IF(L987="","",6*AVERAGE($Q$7:Q987))</f>
        <v/>
      </c>
    </row>
    <row r="988" spans="6:18" x14ac:dyDescent="0.3">
      <c r="F988" t="str">
        <f>IF(A988="","",4*AVERAGE($E$7:E988))</f>
        <v/>
      </c>
      <c r="R988" t="str">
        <f>IF(L988="","",6*AVERAGE($Q$7:Q988))</f>
        <v/>
      </c>
    </row>
    <row r="989" spans="6:18" x14ac:dyDescent="0.3">
      <c r="F989" t="str">
        <f>IF(A989="","",4*AVERAGE($E$7:E989))</f>
        <v/>
      </c>
      <c r="R989" t="str">
        <f>IF(L989="","",6*AVERAGE($Q$7:Q989))</f>
        <v/>
      </c>
    </row>
    <row r="990" spans="6:18" x14ac:dyDescent="0.3">
      <c r="F990" t="str">
        <f>IF(A990="","",4*AVERAGE($E$7:E990))</f>
        <v/>
      </c>
      <c r="R990" t="str">
        <f>IF(L990="","",6*AVERAGE($Q$7:Q990))</f>
        <v/>
      </c>
    </row>
    <row r="991" spans="6:18" x14ac:dyDescent="0.3">
      <c r="F991" t="str">
        <f>IF(A991="","",4*AVERAGE($E$7:E991))</f>
        <v/>
      </c>
      <c r="R991" t="str">
        <f>IF(L991="","",6*AVERAGE($Q$7:Q991))</f>
        <v/>
      </c>
    </row>
    <row r="992" spans="6:18" x14ac:dyDescent="0.3">
      <c r="F992" t="str">
        <f>IF(A992="","",4*AVERAGE($E$7:E992))</f>
        <v/>
      </c>
      <c r="R992" t="str">
        <f>IF(L992="","",6*AVERAGE($Q$7:Q992))</f>
        <v/>
      </c>
    </row>
    <row r="993" spans="6:18" x14ac:dyDescent="0.3">
      <c r="F993" t="str">
        <f>IF(A993="","",4*AVERAGE($E$7:E993))</f>
        <v/>
      </c>
      <c r="R993" t="str">
        <f>IF(L993="","",6*AVERAGE($Q$7:Q993))</f>
        <v/>
      </c>
    </row>
    <row r="994" spans="6:18" x14ac:dyDescent="0.3">
      <c r="F994" t="str">
        <f>IF(A994="","",4*AVERAGE($E$7:E994))</f>
        <v/>
      </c>
      <c r="R994" t="str">
        <f>IF(L994="","",6*AVERAGE($Q$7:Q994))</f>
        <v/>
      </c>
    </row>
    <row r="995" spans="6:18" x14ac:dyDescent="0.3">
      <c r="F995" t="str">
        <f>IF(A995="","",4*AVERAGE($E$7:E995))</f>
        <v/>
      </c>
      <c r="R995" t="str">
        <f>IF(L995="","",6*AVERAGE($Q$7:Q995))</f>
        <v/>
      </c>
    </row>
    <row r="996" spans="6:18" x14ac:dyDescent="0.3">
      <c r="F996" t="str">
        <f>IF(A996="","",4*AVERAGE($E$7:E996))</f>
        <v/>
      </c>
      <c r="R996" t="str">
        <f>IF(L996="","",6*AVERAGE($Q$7:Q996))</f>
        <v/>
      </c>
    </row>
    <row r="997" spans="6:18" x14ac:dyDescent="0.3">
      <c r="F997" t="str">
        <f>IF(A997="","",4*AVERAGE($E$7:E997))</f>
        <v/>
      </c>
      <c r="R997" t="str">
        <f>IF(L997="","",6*AVERAGE($Q$7:Q997))</f>
        <v/>
      </c>
    </row>
    <row r="998" spans="6:18" x14ac:dyDescent="0.3">
      <c r="F998" t="str">
        <f>IF(A998="","",4*AVERAGE($E$7:E998))</f>
        <v/>
      </c>
      <c r="R998" t="str">
        <f>IF(L998="","",6*AVERAGE($Q$7:Q998))</f>
        <v/>
      </c>
    </row>
    <row r="999" spans="6:18" x14ac:dyDescent="0.3">
      <c r="F999" t="str">
        <f>IF(A999="","",4*AVERAGE($E$7:E999))</f>
        <v/>
      </c>
      <c r="R999" t="str">
        <f>IF(L999="","",6*AVERAGE($Q$7:Q999))</f>
        <v/>
      </c>
    </row>
    <row r="1000" spans="6:18" x14ac:dyDescent="0.3">
      <c r="F1000" t="str">
        <f>IF(A1000="","",4*AVERAGE($E$7:E1000))</f>
        <v/>
      </c>
      <c r="R1000" t="str">
        <f>IF(L1000="","",6*AVERAGE($Q$7:Q1000))</f>
        <v/>
      </c>
    </row>
    <row r="1001" spans="6:18" x14ac:dyDescent="0.3">
      <c r="F1001" t="str">
        <f>IF(A1001="","",4*AVERAGE($E$7:E1001))</f>
        <v/>
      </c>
      <c r="R1001" t="str">
        <f>IF(L1001="","",6*AVERAGE($Q$7:Q1001))</f>
        <v/>
      </c>
    </row>
    <row r="1002" spans="6:18" x14ac:dyDescent="0.3">
      <c r="F1002" t="str">
        <f>IF(A1002="","",4*AVERAGE($E$7:E1002))</f>
        <v/>
      </c>
      <c r="R1002" t="str">
        <f>IF(L1002="","",6*AVERAGE($Q$7:Q1002))</f>
        <v/>
      </c>
    </row>
    <row r="1003" spans="6:18" x14ac:dyDescent="0.3">
      <c r="F1003" t="str">
        <f>IF(A1003="","",4*AVERAGE($E$7:E1003))</f>
        <v/>
      </c>
      <c r="R1003" t="str">
        <f>IF(L1003="","",6*AVERAGE($Q$7:Q1003))</f>
        <v/>
      </c>
    </row>
    <row r="1004" spans="6:18" x14ac:dyDescent="0.3">
      <c r="F1004" t="str">
        <f>IF(A1004="","",4*AVERAGE($E$7:E1004))</f>
        <v/>
      </c>
      <c r="R1004" t="str">
        <f>IF(L1004="","",6*AVERAGE($Q$7:Q1004))</f>
        <v/>
      </c>
    </row>
    <row r="1005" spans="6:18" x14ac:dyDescent="0.3">
      <c r="F1005" t="str">
        <f>IF(A1005="","",4*AVERAGE($E$7:E1005))</f>
        <v/>
      </c>
      <c r="R1005" t="str">
        <f>IF(L1005="","",6*AVERAGE($Q$7:Q1005))</f>
        <v/>
      </c>
    </row>
    <row r="1006" spans="6:18" x14ac:dyDescent="0.3">
      <c r="F1006" t="str">
        <f>IF(A1006="","",4*AVERAGE($E$7:E1006))</f>
        <v/>
      </c>
      <c r="R1006" t="str">
        <f>IF(L1006="","",6*AVERAGE($Q$7:Q1006))</f>
        <v/>
      </c>
    </row>
    <row r="1007" spans="6:18" x14ac:dyDescent="0.3">
      <c r="F1007" t="str">
        <f>IF(A1007="","",4*AVERAGE($E$7:E1007))</f>
        <v/>
      </c>
      <c r="R1007" t="str">
        <f>IF(L1007="","",6*AVERAGE($Q$7:Q1007))</f>
        <v/>
      </c>
    </row>
    <row r="1008" spans="6:18" x14ac:dyDescent="0.3">
      <c r="F1008" t="str">
        <f>IF(A1008="","",4*AVERAGE($E$7:E1008))</f>
        <v/>
      </c>
      <c r="R1008" t="str">
        <f>IF(L1008="","",6*AVERAGE($Q$7:Q1008))</f>
        <v/>
      </c>
    </row>
    <row r="1009" spans="6:18" x14ac:dyDescent="0.3">
      <c r="F1009" t="str">
        <f>IF(A1009="","",4*AVERAGE($E$7:E1009))</f>
        <v/>
      </c>
      <c r="R1009" t="str">
        <f>IF(L1009="","",6*AVERAGE($Q$7:Q1009))</f>
        <v/>
      </c>
    </row>
    <row r="1010" spans="6:18" x14ac:dyDescent="0.3">
      <c r="F1010" t="str">
        <f>IF(A1010="","",4*AVERAGE($E$7:E1010))</f>
        <v/>
      </c>
      <c r="R1010" t="str">
        <f>IF(L1010="","",6*AVERAGE($Q$7:Q1010))</f>
        <v/>
      </c>
    </row>
    <row r="1011" spans="6:18" x14ac:dyDescent="0.3">
      <c r="F1011" t="str">
        <f>IF(A1011="","",4*AVERAGE($E$7:E1011))</f>
        <v/>
      </c>
      <c r="R1011" t="str">
        <f>IF(L1011="","",6*AVERAGE($Q$7:Q1011))</f>
        <v/>
      </c>
    </row>
    <row r="1012" spans="6:18" x14ac:dyDescent="0.3">
      <c r="F1012" t="str">
        <f>IF(A1012="","",4*AVERAGE($E$7:E1012))</f>
        <v/>
      </c>
      <c r="R1012" t="str">
        <f>IF(L1012="","",6*AVERAGE($Q$7:Q1012))</f>
        <v/>
      </c>
    </row>
    <row r="1013" spans="6:18" x14ac:dyDescent="0.3">
      <c r="F1013" t="str">
        <f>IF(A1013="","",4*AVERAGE($E$7:E1013))</f>
        <v/>
      </c>
      <c r="R1013" t="str">
        <f>IF(L1013="","",6*AVERAGE($Q$7:Q1013))</f>
        <v/>
      </c>
    </row>
    <row r="1014" spans="6:18" x14ac:dyDescent="0.3">
      <c r="F1014" t="str">
        <f>IF(A1014="","",4*AVERAGE($E$7:E1014))</f>
        <v/>
      </c>
      <c r="R1014" t="str">
        <f>IF(L1014="","",6*AVERAGE($Q$7:Q1014))</f>
        <v/>
      </c>
    </row>
    <row r="1015" spans="6:18" x14ac:dyDescent="0.3">
      <c r="F1015" t="str">
        <f>IF(A1015="","",4*AVERAGE($E$7:E1015))</f>
        <v/>
      </c>
      <c r="R1015" t="str">
        <f>IF(L1015="","",6*AVERAGE($Q$7:Q1015))</f>
        <v/>
      </c>
    </row>
    <row r="1016" spans="6:18" x14ac:dyDescent="0.3">
      <c r="F1016" t="str">
        <f>IF(A1016="","",4*AVERAGE($E$7:E1016))</f>
        <v/>
      </c>
      <c r="R1016" t="str">
        <f>IF(L1016="","",6*AVERAGE($Q$7:Q1016))</f>
        <v/>
      </c>
    </row>
    <row r="1017" spans="6:18" x14ac:dyDescent="0.3">
      <c r="F1017" t="str">
        <f>IF(A1017="","",4*AVERAGE($E$7:E1017))</f>
        <v/>
      </c>
      <c r="R1017" t="str">
        <f>IF(L1017="","",6*AVERAGE($Q$7:Q1017))</f>
        <v/>
      </c>
    </row>
    <row r="1018" spans="6:18" x14ac:dyDescent="0.3">
      <c r="F1018" t="str">
        <f>IF(A1018="","",4*AVERAGE($E$7:E1018))</f>
        <v/>
      </c>
      <c r="R1018" t="str">
        <f>IF(L1018="","",6*AVERAGE($Q$7:Q1018))</f>
        <v/>
      </c>
    </row>
    <row r="1019" spans="6:18" x14ac:dyDescent="0.3">
      <c r="F1019" t="str">
        <f>IF(A1019="","",4*AVERAGE($E$7:E1019))</f>
        <v/>
      </c>
      <c r="R1019" t="str">
        <f>IF(L1019="","",6*AVERAGE($Q$7:Q1019))</f>
        <v/>
      </c>
    </row>
    <row r="1020" spans="6:18" x14ac:dyDescent="0.3">
      <c r="F1020" t="str">
        <f>IF(A1020="","",4*AVERAGE($E$7:E1020))</f>
        <v/>
      </c>
      <c r="R1020" t="str">
        <f>IF(L1020="","",6*AVERAGE($Q$7:Q1020))</f>
        <v/>
      </c>
    </row>
    <row r="1021" spans="6:18" x14ac:dyDescent="0.3">
      <c r="F1021" t="str">
        <f>IF(A1021="","",4*AVERAGE($E$7:E1021))</f>
        <v/>
      </c>
      <c r="R1021" t="str">
        <f>IF(L1021="","",6*AVERAGE($Q$7:Q1021))</f>
        <v/>
      </c>
    </row>
    <row r="1022" spans="6:18" x14ac:dyDescent="0.3">
      <c r="F1022" t="str">
        <f>IF(A1022="","",4*AVERAGE($E$7:E1022))</f>
        <v/>
      </c>
      <c r="R1022" t="str">
        <f>IF(L1022="","",6*AVERAGE($Q$7:Q1022))</f>
        <v/>
      </c>
    </row>
    <row r="1023" spans="6:18" x14ac:dyDescent="0.3">
      <c r="F1023" t="str">
        <f>IF(A1023="","",4*AVERAGE($E$7:E1023))</f>
        <v/>
      </c>
      <c r="R1023" t="str">
        <f>IF(L1023="","",6*AVERAGE($Q$7:Q1023))</f>
        <v/>
      </c>
    </row>
    <row r="1024" spans="6:18" x14ac:dyDescent="0.3">
      <c r="F1024" t="str">
        <f>IF(A1024="","",4*AVERAGE($E$7:E1024))</f>
        <v/>
      </c>
      <c r="R1024" t="str">
        <f>IF(L1024="","",6*AVERAGE($Q$7:Q1024))</f>
        <v/>
      </c>
    </row>
    <row r="1025" spans="6:18" x14ac:dyDescent="0.3">
      <c r="F1025" t="str">
        <f>IF(A1025="","",4*AVERAGE($E$7:E1025))</f>
        <v/>
      </c>
      <c r="R1025" t="str">
        <f>IF(L1025="","",6*AVERAGE($Q$7:Q1025))</f>
        <v/>
      </c>
    </row>
    <row r="1026" spans="6:18" x14ac:dyDescent="0.3">
      <c r="F1026" t="str">
        <f>IF(A1026="","",4*AVERAGE($E$7:E1026))</f>
        <v/>
      </c>
      <c r="R1026" t="str">
        <f>IF(L1026="","",6*AVERAGE($Q$7:Q1026))</f>
        <v/>
      </c>
    </row>
    <row r="1027" spans="6:18" x14ac:dyDescent="0.3">
      <c r="F1027" t="str">
        <f>IF(A1027="","",4*AVERAGE($E$7:E1027))</f>
        <v/>
      </c>
      <c r="R1027" t="str">
        <f>IF(L1027="","",6*AVERAGE($Q$7:Q1027))</f>
        <v/>
      </c>
    </row>
    <row r="1028" spans="6:18" x14ac:dyDescent="0.3">
      <c r="F1028" t="str">
        <f>IF(A1028="","",4*AVERAGE($E$7:E1028))</f>
        <v/>
      </c>
      <c r="R1028" t="str">
        <f>IF(L1028="","",6*AVERAGE($Q$7:Q1028))</f>
        <v/>
      </c>
    </row>
    <row r="1029" spans="6:18" x14ac:dyDescent="0.3">
      <c r="F1029" t="str">
        <f>IF(A1029="","",4*AVERAGE($E$7:E1029))</f>
        <v/>
      </c>
      <c r="R1029" t="str">
        <f>IF(L1029="","",6*AVERAGE($Q$7:Q1029))</f>
        <v/>
      </c>
    </row>
    <row r="1030" spans="6:18" x14ac:dyDescent="0.3">
      <c r="F1030" t="str">
        <f>IF(A1030="","",4*AVERAGE($E$7:E1030))</f>
        <v/>
      </c>
      <c r="R1030" t="str">
        <f>IF(L1030="","",6*AVERAGE($Q$7:Q1030))</f>
        <v/>
      </c>
    </row>
    <row r="1031" spans="6:18" x14ac:dyDescent="0.3">
      <c r="F1031" t="str">
        <f>IF(A1031="","",4*AVERAGE($E$7:E1031))</f>
        <v/>
      </c>
      <c r="R1031" t="str">
        <f>IF(L1031="","",6*AVERAGE($Q$7:Q1031))</f>
        <v/>
      </c>
    </row>
    <row r="1032" spans="6:18" x14ac:dyDescent="0.3">
      <c r="F1032" t="str">
        <f>IF(A1032="","",4*AVERAGE($E$7:E1032))</f>
        <v/>
      </c>
      <c r="R1032" t="str">
        <f>IF(L1032="","",6*AVERAGE($Q$7:Q1032))</f>
        <v/>
      </c>
    </row>
    <row r="1033" spans="6:18" x14ac:dyDescent="0.3">
      <c r="F1033" t="str">
        <f>IF(A1033="","",4*AVERAGE($E$7:E1033))</f>
        <v/>
      </c>
      <c r="R1033" t="str">
        <f>IF(L1033="","",6*AVERAGE($Q$7:Q1033))</f>
        <v/>
      </c>
    </row>
    <row r="1034" spans="6:18" x14ac:dyDescent="0.3">
      <c r="F1034" t="str">
        <f>IF(A1034="","",4*AVERAGE($E$7:E1034))</f>
        <v/>
      </c>
      <c r="R1034" t="str">
        <f>IF(L1034="","",6*AVERAGE($Q$7:Q1034))</f>
        <v/>
      </c>
    </row>
    <row r="1035" spans="6:18" x14ac:dyDescent="0.3">
      <c r="F1035" t="str">
        <f>IF(A1035="","",4*AVERAGE($E$7:E1035))</f>
        <v/>
      </c>
      <c r="R1035" t="str">
        <f>IF(L1035="","",6*AVERAGE($Q$7:Q1035))</f>
        <v/>
      </c>
    </row>
    <row r="1036" spans="6:18" x14ac:dyDescent="0.3">
      <c r="F1036" t="str">
        <f>IF(A1036="","",4*AVERAGE($E$7:E1036))</f>
        <v/>
      </c>
      <c r="R1036" t="str">
        <f>IF(L1036="","",6*AVERAGE($Q$7:Q1036))</f>
        <v/>
      </c>
    </row>
    <row r="1037" spans="6:18" x14ac:dyDescent="0.3">
      <c r="F1037" t="str">
        <f>IF(A1037="","",4*AVERAGE($E$7:E1037))</f>
        <v/>
      </c>
      <c r="R1037" t="str">
        <f>IF(L1037="","",6*AVERAGE($Q$7:Q1037))</f>
        <v/>
      </c>
    </row>
    <row r="1038" spans="6:18" x14ac:dyDescent="0.3">
      <c r="F1038" t="str">
        <f>IF(A1038="","",4*AVERAGE($E$7:E1038))</f>
        <v/>
      </c>
      <c r="R1038" t="str">
        <f>IF(L1038="","",6*AVERAGE($Q$7:Q1038))</f>
        <v/>
      </c>
    </row>
    <row r="1039" spans="6:18" x14ac:dyDescent="0.3">
      <c r="F1039" t="str">
        <f>IF(A1039="","",4*AVERAGE($E$7:E1039))</f>
        <v/>
      </c>
      <c r="R1039" t="str">
        <f>IF(L1039="","",6*AVERAGE($Q$7:Q1039))</f>
        <v/>
      </c>
    </row>
    <row r="1040" spans="6:18" x14ac:dyDescent="0.3">
      <c r="F1040" t="str">
        <f>IF(A1040="","",4*AVERAGE($E$7:E1040))</f>
        <v/>
      </c>
      <c r="R1040" t="str">
        <f>IF(L1040="","",6*AVERAGE($Q$7:Q1040))</f>
        <v/>
      </c>
    </row>
    <row r="1041" spans="6:18" x14ac:dyDescent="0.3">
      <c r="F1041" t="str">
        <f>IF(A1041="","",4*AVERAGE($E$7:E1041))</f>
        <v/>
      </c>
      <c r="R1041" t="str">
        <f>IF(L1041="","",6*AVERAGE($Q$7:Q1041))</f>
        <v/>
      </c>
    </row>
    <row r="1042" spans="6:18" x14ac:dyDescent="0.3">
      <c r="F1042" t="str">
        <f>IF(A1042="","",4*AVERAGE($E$7:E1042))</f>
        <v/>
      </c>
      <c r="R1042" t="str">
        <f>IF(L1042="","",6*AVERAGE($Q$7:Q1042))</f>
        <v/>
      </c>
    </row>
    <row r="1043" spans="6:18" x14ac:dyDescent="0.3">
      <c r="F1043" t="str">
        <f>IF(A1043="","",4*AVERAGE($E$7:E1043))</f>
        <v/>
      </c>
      <c r="R1043" t="str">
        <f>IF(L1043="","",6*AVERAGE($Q$7:Q1043))</f>
        <v/>
      </c>
    </row>
    <row r="1044" spans="6:18" x14ac:dyDescent="0.3">
      <c r="F1044" t="str">
        <f>IF(A1044="","",4*AVERAGE($E$7:E1044))</f>
        <v/>
      </c>
      <c r="R1044" t="str">
        <f>IF(L1044="","",6*AVERAGE($Q$7:Q1044))</f>
        <v/>
      </c>
    </row>
    <row r="1045" spans="6:18" x14ac:dyDescent="0.3">
      <c r="F1045" t="str">
        <f>IF(A1045="","",4*AVERAGE($E$7:E1045))</f>
        <v/>
      </c>
      <c r="R1045" t="str">
        <f>IF(L1045="","",6*AVERAGE($Q$7:Q1045))</f>
        <v/>
      </c>
    </row>
    <row r="1046" spans="6:18" x14ac:dyDescent="0.3">
      <c r="F1046" t="str">
        <f>IF(A1046="","",4*AVERAGE($E$7:E1046))</f>
        <v/>
      </c>
      <c r="R1046" t="str">
        <f>IF(L1046="","",6*AVERAGE($Q$7:Q1046))</f>
        <v/>
      </c>
    </row>
    <row r="1047" spans="6:18" x14ac:dyDescent="0.3">
      <c r="F1047" t="str">
        <f>IF(A1047="","",4*AVERAGE($E$7:E1047))</f>
        <v/>
      </c>
      <c r="R1047" t="str">
        <f>IF(L1047="","",6*AVERAGE($Q$7:Q1047))</f>
        <v/>
      </c>
    </row>
    <row r="1048" spans="6:18" x14ac:dyDescent="0.3">
      <c r="F1048" t="str">
        <f>IF(A1048="","",4*AVERAGE($E$7:E1048))</f>
        <v/>
      </c>
      <c r="R1048" t="str">
        <f>IF(L1048="","",6*AVERAGE($Q$7:Q1048))</f>
        <v/>
      </c>
    </row>
    <row r="1049" spans="6:18" x14ac:dyDescent="0.3">
      <c r="F1049" t="str">
        <f>IF(A1049="","",4*AVERAGE($E$7:E1049))</f>
        <v/>
      </c>
      <c r="R1049" t="str">
        <f>IF(L1049="","",6*AVERAGE($Q$7:Q1049))</f>
        <v/>
      </c>
    </row>
    <row r="1050" spans="6:18" x14ac:dyDescent="0.3">
      <c r="F1050" t="str">
        <f>IF(A1050="","",4*AVERAGE($E$7:E1050))</f>
        <v/>
      </c>
      <c r="R1050" t="str">
        <f>IF(L1050="","",6*AVERAGE($Q$7:Q1050))</f>
        <v/>
      </c>
    </row>
    <row r="1051" spans="6:18" x14ac:dyDescent="0.3">
      <c r="F1051" t="str">
        <f>IF(A1051="","",4*AVERAGE($E$7:E1051))</f>
        <v/>
      </c>
      <c r="R1051" t="str">
        <f>IF(L1051="","",6*AVERAGE($Q$7:Q1051))</f>
        <v/>
      </c>
    </row>
    <row r="1052" spans="6:18" x14ac:dyDescent="0.3">
      <c r="F1052" t="str">
        <f>IF(A1052="","",4*AVERAGE($E$7:E1052))</f>
        <v/>
      </c>
      <c r="R1052" t="str">
        <f>IF(L1052="","",6*AVERAGE($Q$7:Q1052))</f>
        <v/>
      </c>
    </row>
    <row r="1053" spans="6:18" x14ac:dyDescent="0.3">
      <c r="F1053" t="str">
        <f>IF(A1053="","",4*AVERAGE($E$7:E1053))</f>
        <v/>
      </c>
      <c r="R1053" t="str">
        <f>IF(L1053="","",6*AVERAGE($Q$7:Q1053))</f>
        <v/>
      </c>
    </row>
    <row r="1054" spans="6:18" x14ac:dyDescent="0.3">
      <c r="F1054" t="str">
        <f>IF(A1054="","",4*AVERAGE($E$7:E1054))</f>
        <v/>
      </c>
      <c r="R1054" t="str">
        <f>IF(L1054="","",6*AVERAGE($Q$7:Q1054))</f>
        <v/>
      </c>
    </row>
    <row r="1055" spans="6:18" x14ac:dyDescent="0.3">
      <c r="F1055" t="str">
        <f>IF(A1055="","",4*AVERAGE($E$7:E1055))</f>
        <v/>
      </c>
      <c r="R1055" t="str">
        <f>IF(L1055="","",6*AVERAGE($Q$7:Q1055))</f>
        <v/>
      </c>
    </row>
    <row r="1056" spans="6:18" x14ac:dyDescent="0.3">
      <c r="F1056" t="str">
        <f>IF(A1056="","",4*AVERAGE($E$7:E1056))</f>
        <v/>
      </c>
      <c r="R1056" t="str">
        <f>IF(L1056="","",6*AVERAGE($Q$7:Q1056))</f>
        <v/>
      </c>
    </row>
    <row r="1057" spans="6:18" x14ac:dyDescent="0.3">
      <c r="F1057" t="str">
        <f>IF(A1057="","",4*AVERAGE($E$7:E1057))</f>
        <v/>
      </c>
      <c r="R1057" t="str">
        <f>IF(L1057="","",6*AVERAGE($Q$7:Q1057))</f>
        <v/>
      </c>
    </row>
    <row r="1058" spans="6:18" x14ac:dyDescent="0.3">
      <c r="F1058" t="str">
        <f>IF(A1058="","",4*AVERAGE($E$7:E1058))</f>
        <v/>
      </c>
      <c r="R1058" t="str">
        <f>IF(L1058="","",6*AVERAGE($Q$7:Q1058))</f>
        <v/>
      </c>
    </row>
    <row r="1059" spans="6:18" x14ac:dyDescent="0.3">
      <c r="F1059" t="str">
        <f>IF(A1059="","",4*AVERAGE($E$7:E1059))</f>
        <v/>
      </c>
      <c r="R1059" t="str">
        <f>IF(L1059="","",6*AVERAGE($Q$7:Q1059))</f>
        <v/>
      </c>
    </row>
    <row r="1060" spans="6:18" x14ac:dyDescent="0.3">
      <c r="F1060" t="str">
        <f>IF(A1060="","",4*AVERAGE($E$7:E1060))</f>
        <v/>
      </c>
      <c r="R1060" t="str">
        <f>IF(L1060="","",6*AVERAGE($Q$7:Q1060))</f>
        <v/>
      </c>
    </row>
    <row r="1061" spans="6:18" x14ac:dyDescent="0.3">
      <c r="F1061" t="str">
        <f>IF(A1061="","",4*AVERAGE($E$7:E1061))</f>
        <v/>
      </c>
      <c r="R1061" t="str">
        <f>IF(L1061="","",6*AVERAGE($Q$7:Q1061))</f>
        <v/>
      </c>
    </row>
    <row r="1062" spans="6:18" x14ac:dyDescent="0.3">
      <c r="F1062" t="str">
        <f>IF(A1062="","",4*AVERAGE($E$7:E1062))</f>
        <v/>
      </c>
      <c r="R1062" t="str">
        <f>IF(L1062="","",6*AVERAGE($Q$7:Q1062))</f>
        <v/>
      </c>
    </row>
    <row r="1063" spans="6:18" x14ac:dyDescent="0.3">
      <c r="F1063" t="str">
        <f>IF(A1063="","",4*AVERAGE($E$7:E1063))</f>
        <v/>
      </c>
      <c r="R1063" t="str">
        <f>IF(L1063="","",6*AVERAGE($Q$7:Q1063))</f>
        <v/>
      </c>
    </row>
    <row r="1064" spans="6:18" x14ac:dyDescent="0.3">
      <c r="F1064" t="str">
        <f>IF(A1064="","",4*AVERAGE($E$7:E1064))</f>
        <v/>
      </c>
      <c r="R1064" t="str">
        <f>IF(L1064="","",6*AVERAGE($Q$7:Q1064))</f>
        <v/>
      </c>
    </row>
    <row r="1065" spans="6:18" x14ac:dyDescent="0.3">
      <c r="F1065" t="str">
        <f>IF(A1065="","",4*AVERAGE($E$7:E1065))</f>
        <v/>
      </c>
      <c r="R1065" t="str">
        <f>IF(L1065="","",6*AVERAGE($Q$7:Q1065))</f>
        <v/>
      </c>
    </row>
    <row r="1066" spans="6:18" x14ac:dyDescent="0.3">
      <c r="F1066" t="str">
        <f>IF(A1066="","",4*AVERAGE($E$7:E1066))</f>
        <v/>
      </c>
      <c r="R1066" t="str">
        <f>IF(L1066="","",6*AVERAGE($Q$7:Q1066))</f>
        <v/>
      </c>
    </row>
    <row r="1067" spans="6:18" x14ac:dyDescent="0.3">
      <c r="F1067" t="str">
        <f>IF(A1067="","",4*AVERAGE($E$7:E1067))</f>
        <v/>
      </c>
      <c r="R1067" t="str">
        <f>IF(L1067="","",6*AVERAGE($Q$7:Q1067))</f>
        <v/>
      </c>
    </row>
    <row r="1068" spans="6:18" x14ac:dyDescent="0.3">
      <c r="F1068" t="str">
        <f>IF(A1068="","",4*AVERAGE($E$7:E1068))</f>
        <v/>
      </c>
      <c r="R1068" t="str">
        <f>IF(L1068="","",6*AVERAGE($Q$7:Q1068))</f>
        <v/>
      </c>
    </row>
    <row r="1069" spans="6:18" x14ac:dyDescent="0.3">
      <c r="F1069" t="str">
        <f>IF(A1069="","",4*AVERAGE($E$7:E1069))</f>
        <v/>
      </c>
      <c r="R1069" t="str">
        <f>IF(L1069="","",6*AVERAGE($Q$7:Q1069))</f>
        <v/>
      </c>
    </row>
    <row r="1070" spans="6:18" x14ac:dyDescent="0.3">
      <c r="F1070" t="str">
        <f>IF(A1070="","",4*AVERAGE($E$7:E1070))</f>
        <v/>
      </c>
      <c r="R1070" t="str">
        <f>IF(L1070="","",6*AVERAGE($Q$7:Q1070))</f>
        <v/>
      </c>
    </row>
    <row r="1071" spans="6:18" x14ac:dyDescent="0.3">
      <c r="F1071" t="str">
        <f>IF(A1071="","",4*AVERAGE($E$7:E1071))</f>
        <v/>
      </c>
      <c r="R1071" t="str">
        <f>IF(L1071="","",6*AVERAGE($Q$7:Q1071))</f>
        <v/>
      </c>
    </row>
    <row r="1072" spans="6:18" x14ac:dyDescent="0.3">
      <c r="F1072" t="str">
        <f>IF(A1072="","",4*AVERAGE($E$7:E1072))</f>
        <v/>
      </c>
      <c r="R1072" t="str">
        <f>IF(L1072="","",6*AVERAGE($Q$7:Q1072))</f>
        <v/>
      </c>
    </row>
    <row r="1073" spans="6:18" x14ac:dyDescent="0.3">
      <c r="F1073" t="str">
        <f>IF(A1073="","",4*AVERAGE($E$7:E1073))</f>
        <v/>
      </c>
      <c r="R1073" t="str">
        <f>IF(L1073="","",6*AVERAGE($Q$7:Q1073))</f>
        <v/>
      </c>
    </row>
    <row r="1074" spans="6:18" x14ac:dyDescent="0.3">
      <c r="F1074" t="str">
        <f>IF(A1074="","",4*AVERAGE($E$7:E1074))</f>
        <v/>
      </c>
      <c r="R1074" t="str">
        <f>IF(L1074="","",6*AVERAGE($Q$7:Q1074))</f>
        <v/>
      </c>
    </row>
    <row r="1075" spans="6:18" x14ac:dyDescent="0.3">
      <c r="F1075" t="str">
        <f>IF(A1075="","",4*AVERAGE($E$7:E1075))</f>
        <v/>
      </c>
      <c r="R1075" t="str">
        <f>IF(L1075="","",6*AVERAGE($Q$7:Q1075))</f>
        <v/>
      </c>
    </row>
    <row r="1076" spans="6:18" x14ac:dyDescent="0.3">
      <c r="F1076" t="str">
        <f>IF(A1076="","",4*AVERAGE($E$7:E1076))</f>
        <v/>
      </c>
      <c r="R1076" t="str">
        <f>IF(L1076="","",6*AVERAGE($Q$7:Q1076))</f>
        <v/>
      </c>
    </row>
    <row r="1077" spans="6:18" x14ac:dyDescent="0.3">
      <c r="F1077" t="str">
        <f>IF(A1077="","",4*AVERAGE($E$7:E1077))</f>
        <v/>
      </c>
      <c r="R1077" t="str">
        <f>IF(L1077="","",6*AVERAGE($Q$7:Q1077))</f>
        <v/>
      </c>
    </row>
    <row r="1078" spans="6:18" x14ac:dyDescent="0.3">
      <c r="F1078" t="str">
        <f>IF(A1078="","",4*AVERAGE($E$7:E1078))</f>
        <v/>
      </c>
      <c r="R1078" t="str">
        <f>IF(L1078="","",6*AVERAGE($Q$7:Q1078))</f>
        <v/>
      </c>
    </row>
    <row r="1079" spans="6:18" x14ac:dyDescent="0.3">
      <c r="F1079" t="str">
        <f>IF(A1079="","",4*AVERAGE($E$7:E1079))</f>
        <v/>
      </c>
      <c r="R1079" t="str">
        <f>IF(L1079="","",6*AVERAGE($Q$7:Q1079))</f>
        <v/>
      </c>
    </row>
    <row r="1080" spans="6:18" x14ac:dyDescent="0.3">
      <c r="F1080" t="str">
        <f>IF(A1080="","",4*AVERAGE($E$7:E1080))</f>
        <v/>
      </c>
      <c r="R1080" t="str">
        <f>IF(L1080="","",6*AVERAGE($Q$7:Q1080))</f>
        <v/>
      </c>
    </row>
    <row r="1081" spans="6:18" x14ac:dyDescent="0.3">
      <c r="F1081" t="str">
        <f>IF(A1081="","",4*AVERAGE($E$7:E1081))</f>
        <v/>
      </c>
      <c r="R1081" t="str">
        <f>IF(L1081="","",6*AVERAGE($Q$7:Q1081))</f>
        <v/>
      </c>
    </row>
    <row r="1082" spans="6:18" x14ac:dyDescent="0.3">
      <c r="F1082" t="str">
        <f>IF(A1082="","",4*AVERAGE($E$7:E1082))</f>
        <v/>
      </c>
      <c r="R1082" t="str">
        <f>IF(L1082="","",6*AVERAGE($Q$7:Q1082))</f>
        <v/>
      </c>
    </row>
    <row r="1083" spans="6:18" x14ac:dyDescent="0.3">
      <c r="F1083" t="str">
        <f>IF(A1083="","",4*AVERAGE($E$7:E1083))</f>
        <v/>
      </c>
      <c r="R1083" t="str">
        <f>IF(L1083="","",6*AVERAGE($Q$7:Q1083))</f>
        <v/>
      </c>
    </row>
    <row r="1084" spans="6:18" x14ac:dyDescent="0.3">
      <c r="F1084" t="str">
        <f>IF(A1084="","",4*AVERAGE($E$7:E1084))</f>
        <v/>
      </c>
      <c r="R1084" t="str">
        <f>IF(L1084="","",6*AVERAGE($Q$7:Q1084))</f>
        <v/>
      </c>
    </row>
    <row r="1085" spans="6:18" x14ac:dyDescent="0.3">
      <c r="F1085" t="str">
        <f>IF(A1085="","",4*AVERAGE($E$7:E1085))</f>
        <v/>
      </c>
      <c r="R1085" t="str">
        <f>IF(L1085="","",6*AVERAGE($Q$7:Q1085))</f>
        <v/>
      </c>
    </row>
    <row r="1086" spans="6:18" x14ac:dyDescent="0.3">
      <c r="F1086" t="str">
        <f>IF(A1086="","",4*AVERAGE($E$7:E1086))</f>
        <v/>
      </c>
      <c r="R1086" t="str">
        <f>IF(L1086="","",6*AVERAGE($Q$7:Q1086))</f>
        <v/>
      </c>
    </row>
    <row r="1087" spans="6:18" x14ac:dyDescent="0.3">
      <c r="F1087" t="str">
        <f>IF(A1087="","",4*AVERAGE($E$7:E1087))</f>
        <v/>
      </c>
      <c r="R1087" t="str">
        <f>IF(L1087="","",6*AVERAGE($Q$7:Q1087))</f>
        <v/>
      </c>
    </row>
    <row r="1088" spans="6:18" x14ac:dyDescent="0.3">
      <c r="F1088" t="str">
        <f>IF(A1088="","",4*AVERAGE($E$7:E1088))</f>
        <v/>
      </c>
      <c r="R1088" t="str">
        <f>IF(L1088="","",6*AVERAGE($Q$7:Q1088))</f>
        <v/>
      </c>
    </row>
    <row r="1089" spans="6:18" x14ac:dyDescent="0.3">
      <c r="F1089" t="str">
        <f>IF(A1089="","",4*AVERAGE($E$7:E1089))</f>
        <v/>
      </c>
      <c r="R1089" t="str">
        <f>IF(L1089="","",6*AVERAGE($Q$7:Q1089))</f>
        <v/>
      </c>
    </row>
    <row r="1090" spans="6:18" x14ac:dyDescent="0.3">
      <c r="F1090" t="str">
        <f>IF(A1090="","",4*AVERAGE($E$7:E1090))</f>
        <v/>
      </c>
      <c r="R1090" t="str">
        <f>IF(L1090="","",6*AVERAGE($Q$7:Q1090))</f>
        <v/>
      </c>
    </row>
    <row r="1091" spans="6:18" x14ac:dyDescent="0.3">
      <c r="F1091" t="str">
        <f>IF(A1091="","",4*AVERAGE($E$7:E1091))</f>
        <v/>
      </c>
      <c r="R1091" t="str">
        <f>IF(L1091="","",6*AVERAGE($Q$7:Q1091))</f>
        <v/>
      </c>
    </row>
    <row r="1092" spans="6:18" x14ac:dyDescent="0.3">
      <c r="F1092" t="str">
        <f>IF(A1092="","",4*AVERAGE($E$7:E1092))</f>
        <v/>
      </c>
      <c r="R1092" t="str">
        <f>IF(L1092="","",6*AVERAGE($Q$7:Q1092))</f>
        <v/>
      </c>
    </row>
    <row r="1093" spans="6:18" x14ac:dyDescent="0.3">
      <c r="F1093" t="str">
        <f>IF(A1093="","",4*AVERAGE($E$7:E1093))</f>
        <v/>
      </c>
      <c r="R1093" t="str">
        <f>IF(L1093="","",6*AVERAGE($Q$7:Q1093))</f>
        <v/>
      </c>
    </row>
    <row r="1094" spans="6:18" x14ac:dyDescent="0.3">
      <c r="F1094" t="str">
        <f>IF(A1094="","",4*AVERAGE($E$7:E1094))</f>
        <v/>
      </c>
      <c r="R1094" t="str">
        <f>IF(L1094="","",6*AVERAGE($Q$7:Q1094))</f>
        <v/>
      </c>
    </row>
    <row r="1095" spans="6:18" x14ac:dyDescent="0.3">
      <c r="F1095" t="str">
        <f>IF(A1095="","",4*AVERAGE($E$7:E1095))</f>
        <v/>
      </c>
      <c r="R1095" t="str">
        <f>IF(L1095="","",6*AVERAGE($Q$7:Q1095))</f>
        <v/>
      </c>
    </row>
    <row r="1096" spans="6:18" x14ac:dyDescent="0.3">
      <c r="F1096" t="str">
        <f>IF(A1096="","",4*AVERAGE($E$7:E1096))</f>
        <v/>
      </c>
      <c r="R1096" t="str">
        <f>IF(L1096="","",6*AVERAGE($Q$7:Q1096))</f>
        <v/>
      </c>
    </row>
    <row r="1097" spans="6:18" x14ac:dyDescent="0.3">
      <c r="F1097" t="str">
        <f>IF(A1097="","",4*AVERAGE($E$7:E1097))</f>
        <v/>
      </c>
      <c r="R1097" t="str">
        <f>IF(L1097="","",6*AVERAGE($Q$7:Q1097))</f>
        <v/>
      </c>
    </row>
    <row r="1098" spans="6:18" x14ac:dyDescent="0.3">
      <c r="F1098" t="str">
        <f>IF(A1098="","",4*AVERAGE($E$7:E1098))</f>
        <v/>
      </c>
      <c r="R1098" t="str">
        <f>IF(L1098="","",6*AVERAGE($Q$7:Q1098))</f>
        <v/>
      </c>
    </row>
    <row r="1099" spans="6:18" x14ac:dyDescent="0.3">
      <c r="F1099" t="str">
        <f>IF(A1099="","",4*AVERAGE($E$7:E1099))</f>
        <v/>
      </c>
      <c r="R1099" t="str">
        <f>IF(L1099="","",6*AVERAGE($Q$7:Q1099))</f>
        <v/>
      </c>
    </row>
    <row r="1100" spans="6:18" x14ac:dyDescent="0.3">
      <c r="F1100" t="str">
        <f>IF(A1100="","",4*AVERAGE($E$7:E1100))</f>
        <v/>
      </c>
      <c r="R1100" t="str">
        <f>IF(L1100="","",6*AVERAGE($Q$7:Q1100))</f>
        <v/>
      </c>
    </row>
    <row r="1101" spans="6:18" x14ac:dyDescent="0.3">
      <c r="F1101" t="str">
        <f>IF(A1101="","",4*AVERAGE($E$7:E1101))</f>
        <v/>
      </c>
      <c r="R1101" t="str">
        <f>IF(L1101="","",6*AVERAGE($Q$7:Q1101))</f>
        <v/>
      </c>
    </row>
    <row r="1102" spans="6:18" x14ac:dyDescent="0.3">
      <c r="F1102" t="str">
        <f>IF(A1102="","",4*AVERAGE($E$7:E1102))</f>
        <v/>
      </c>
      <c r="R1102" t="str">
        <f>IF(L1102="","",6*AVERAGE($Q$7:Q1102))</f>
        <v/>
      </c>
    </row>
    <row r="1103" spans="6:18" x14ac:dyDescent="0.3">
      <c r="F1103" t="str">
        <f>IF(A1103="","",4*AVERAGE($E$7:E1103))</f>
        <v/>
      </c>
      <c r="R1103" t="str">
        <f>IF(L1103="","",6*AVERAGE($Q$7:Q1103))</f>
        <v/>
      </c>
    </row>
    <row r="1104" spans="6:18" x14ac:dyDescent="0.3">
      <c r="F1104" t="str">
        <f>IF(A1104="","",4*AVERAGE($E$7:E1104))</f>
        <v/>
      </c>
      <c r="R1104" t="str">
        <f>IF(L1104="","",6*AVERAGE($Q$7:Q1104))</f>
        <v/>
      </c>
    </row>
    <row r="1105" spans="6:18" x14ac:dyDescent="0.3">
      <c r="F1105" t="str">
        <f>IF(A1105="","",4*AVERAGE($E$7:E1105))</f>
        <v/>
      </c>
      <c r="R1105" t="str">
        <f>IF(L1105="","",6*AVERAGE($Q$7:Q1105))</f>
        <v/>
      </c>
    </row>
    <row r="1106" spans="6:18" x14ac:dyDescent="0.3">
      <c r="F1106" t="str">
        <f>IF(A1106="","",4*AVERAGE($E$7:E1106))</f>
        <v/>
      </c>
      <c r="R1106" t="str">
        <f>IF(L1106="","",6*AVERAGE($Q$7:Q1106))</f>
        <v/>
      </c>
    </row>
    <row r="1107" spans="6:18" x14ac:dyDescent="0.3">
      <c r="F1107" t="str">
        <f>IF(A1107="","",4*AVERAGE($E$7:E1107))</f>
        <v/>
      </c>
      <c r="R1107" t="str">
        <f>IF(L1107="","",6*AVERAGE($Q$7:Q1107))</f>
        <v/>
      </c>
    </row>
    <row r="1108" spans="6:18" x14ac:dyDescent="0.3">
      <c r="F1108" t="str">
        <f>IF(A1108="","",4*AVERAGE($E$7:E1108))</f>
        <v/>
      </c>
      <c r="R1108" t="str">
        <f>IF(L1108="","",6*AVERAGE($Q$7:Q1108))</f>
        <v/>
      </c>
    </row>
    <row r="1109" spans="6:18" x14ac:dyDescent="0.3">
      <c r="F1109" t="str">
        <f>IF(A1109="","",4*AVERAGE($E$7:E1109))</f>
        <v/>
      </c>
      <c r="R1109" t="str">
        <f>IF(L1109="","",6*AVERAGE($Q$7:Q1109))</f>
        <v/>
      </c>
    </row>
    <row r="1110" spans="6:18" x14ac:dyDescent="0.3">
      <c r="F1110" t="str">
        <f>IF(A1110="","",4*AVERAGE($E$7:E1110))</f>
        <v/>
      </c>
      <c r="R1110" t="str">
        <f>IF(L1110="","",6*AVERAGE($Q$7:Q1110))</f>
        <v/>
      </c>
    </row>
    <row r="1111" spans="6:18" x14ac:dyDescent="0.3">
      <c r="F1111" t="str">
        <f>IF(A1111="","",4*AVERAGE($E$7:E1111))</f>
        <v/>
      </c>
      <c r="R1111" t="str">
        <f>IF(L1111="","",6*AVERAGE($Q$7:Q1111))</f>
        <v/>
      </c>
    </row>
    <row r="1112" spans="6:18" x14ac:dyDescent="0.3">
      <c r="F1112" t="str">
        <f>IF(A1112="","",4*AVERAGE($E$7:E1112))</f>
        <v/>
      </c>
      <c r="R1112" t="str">
        <f>IF(L1112="","",6*AVERAGE($Q$7:Q1112))</f>
        <v/>
      </c>
    </row>
    <row r="1113" spans="6:18" x14ac:dyDescent="0.3">
      <c r="F1113" t="str">
        <f>IF(A1113="","",4*AVERAGE($E$7:E1113))</f>
        <v/>
      </c>
      <c r="R1113" t="str">
        <f>IF(L1113="","",6*AVERAGE($Q$7:Q1113))</f>
        <v/>
      </c>
    </row>
    <row r="1114" spans="6:18" x14ac:dyDescent="0.3">
      <c r="F1114" t="str">
        <f>IF(A1114="","",4*AVERAGE($E$7:E1114))</f>
        <v/>
      </c>
      <c r="R1114" t="str">
        <f>IF(L1114="","",6*AVERAGE($Q$7:Q1114))</f>
        <v/>
      </c>
    </row>
    <row r="1115" spans="6:18" x14ac:dyDescent="0.3">
      <c r="F1115" t="str">
        <f>IF(A1115="","",4*AVERAGE($E$7:E1115))</f>
        <v/>
      </c>
      <c r="R1115" t="str">
        <f>IF(L1115="","",6*AVERAGE($Q$7:Q1115))</f>
        <v/>
      </c>
    </row>
    <row r="1116" spans="6:18" x14ac:dyDescent="0.3">
      <c r="F1116" t="str">
        <f>IF(A1116="","",4*AVERAGE($E$7:E1116))</f>
        <v/>
      </c>
      <c r="R1116" t="str">
        <f>IF(L1116="","",6*AVERAGE($Q$7:Q1116))</f>
        <v/>
      </c>
    </row>
    <row r="1117" spans="6:18" x14ac:dyDescent="0.3">
      <c r="F1117" t="str">
        <f>IF(A1117="","",4*AVERAGE($E$7:E1117))</f>
        <v/>
      </c>
      <c r="R1117" t="str">
        <f>IF(L1117="","",6*AVERAGE($Q$7:Q1117))</f>
        <v/>
      </c>
    </row>
    <row r="1118" spans="6:18" x14ac:dyDescent="0.3">
      <c r="F1118" t="str">
        <f>IF(A1118="","",4*AVERAGE($E$7:E1118))</f>
        <v/>
      </c>
      <c r="R1118" t="str">
        <f>IF(L1118="","",6*AVERAGE($Q$7:Q1118))</f>
        <v/>
      </c>
    </row>
    <row r="1119" spans="6:18" x14ac:dyDescent="0.3">
      <c r="F1119" t="str">
        <f>IF(A1119="","",4*AVERAGE($E$7:E1119))</f>
        <v/>
      </c>
      <c r="R1119" t="str">
        <f>IF(L1119="","",6*AVERAGE($Q$7:Q1119))</f>
        <v/>
      </c>
    </row>
    <row r="1120" spans="6:18" x14ac:dyDescent="0.3">
      <c r="F1120" t="str">
        <f>IF(A1120="","",4*AVERAGE($E$7:E1120))</f>
        <v/>
      </c>
      <c r="R1120" t="str">
        <f>IF(L1120="","",6*AVERAGE($Q$7:Q1120))</f>
        <v/>
      </c>
    </row>
    <row r="1121" spans="6:18" x14ac:dyDescent="0.3">
      <c r="F1121" t="str">
        <f>IF(A1121="","",4*AVERAGE($E$7:E1121))</f>
        <v/>
      </c>
      <c r="R1121" t="str">
        <f>IF(L1121="","",6*AVERAGE($Q$7:Q1121))</f>
        <v/>
      </c>
    </row>
    <row r="1122" spans="6:18" x14ac:dyDescent="0.3">
      <c r="F1122" t="str">
        <f>IF(A1122="","",4*AVERAGE($E$7:E1122))</f>
        <v/>
      </c>
      <c r="R1122" t="str">
        <f>IF(L1122="","",6*AVERAGE($Q$7:Q1122))</f>
        <v/>
      </c>
    </row>
    <row r="1123" spans="6:18" x14ac:dyDescent="0.3">
      <c r="F1123" t="str">
        <f>IF(A1123="","",4*AVERAGE($E$7:E1123))</f>
        <v/>
      </c>
      <c r="R1123" t="str">
        <f>IF(L1123="","",6*AVERAGE($Q$7:Q1123))</f>
        <v/>
      </c>
    </row>
    <row r="1124" spans="6:18" x14ac:dyDescent="0.3">
      <c r="F1124" t="str">
        <f>IF(A1124="","",4*AVERAGE($E$7:E1124))</f>
        <v/>
      </c>
      <c r="R1124" t="str">
        <f>IF(L1124="","",6*AVERAGE($Q$7:Q1124))</f>
        <v/>
      </c>
    </row>
    <row r="1125" spans="6:18" x14ac:dyDescent="0.3">
      <c r="F1125" t="str">
        <f>IF(A1125="","",4*AVERAGE($E$7:E1125))</f>
        <v/>
      </c>
      <c r="R1125" t="str">
        <f>IF(L1125="","",6*AVERAGE($Q$7:Q1125))</f>
        <v/>
      </c>
    </row>
    <row r="1126" spans="6:18" x14ac:dyDescent="0.3">
      <c r="F1126" t="str">
        <f>IF(A1126="","",4*AVERAGE($E$7:E1126))</f>
        <v/>
      </c>
      <c r="R1126" t="str">
        <f>IF(L1126="","",6*AVERAGE($Q$7:Q1126))</f>
        <v/>
      </c>
    </row>
    <row r="1127" spans="6:18" x14ac:dyDescent="0.3">
      <c r="F1127" t="str">
        <f>IF(A1127="","",4*AVERAGE($E$7:E1127))</f>
        <v/>
      </c>
      <c r="R1127" t="str">
        <f>IF(L1127="","",6*AVERAGE($Q$7:Q1127))</f>
        <v/>
      </c>
    </row>
    <row r="1128" spans="6:18" x14ac:dyDescent="0.3">
      <c r="F1128" t="str">
        <f>IF(A1128="","",4*AVERAGE($E$7:E1128))</f>
        <v/>
      </c>
      <c r="R1128" t="str">
        <f>IF(L1128="","",6*AVERAGE($Q$7:Q1128))</f>
        <v/>
      </c>
    </row>
    <row r="1129" spans="6:18" x14ac:dyDescent="0.3">
      <c r="F1129" t="str">
        <f>IF(A1129="","",4*AVERAGE($E$7:E1129))</f>
        <v/>
      </c>
      <c r="R1129" t="str">
        <f>IF(L1129="","",6*AVERAGE($Q$7:Q1129))</f>
        <v/>
      </c>
    </row>
    <row r="1130" spans="6:18" x14ac:dyDescent="0.3">
      <c r="F1130" t="str">
        <f>IF(A1130="","",4*AVERAGE($E$7:E1130))</f>
        <v/>
      </c>
      <c r="R1130" t="str">
        <f>IF(L1130="","",6*AVERAGE($Q$7:Q1130))</f>
        <v/>
      </c>
    </row>
    <row r="1131" spans="6:18" x14ac:dyDescent="0.3">
      <c r="F1131" t="str">
        <f>IF(A1131="","",4*AVERAGE($E$7:E1131))</f>
        <v/>
      </c>
      <c r="R1131" t="str">
        <f>IF(L1131="","",6*AVERAGE($Q$7:Q1131))</f>
        <v/>
      </c>
    </row>
    <row r="1132" spans="6:18" x14ac:dyDescent="0.3">
      <c r="F1132" t="str">
        <f>IF(A1132="","",4*AVERAGE($E$7:E1132))</f>
        <v/>
      </c>
      <c r="R1132" t="str">
        <f>IF(L1132="","",6*AVERAGE($Q$7:Q1132))</f>
        <v/>
      </c>
    </row>
    <row r="1133" spans="6:18" x14ac:dyDescent="0.3">
      <c r="F1133" t="str">
        <f>IF(A1133="","",4*AVERAGE($E$7:E1133))</f>
        <v/>
      </c>
      <c r="R1133" t="str">
        <f>IF(L1133="","",6*AVERAGE($Q$7:Q1133))</f>
        <v/>
      </c>
    </row>
    <row r="1134" spans="6:18" x14ac:dyDescent="0.3">
      <c r="F1134" t="str">
        <f>IF(A1134="","",4*AVERAGE($E$7:E1134))</f>
        <v/>
      </c>
      <c r="R1134" t="str">
        <f>IF(L1134="","",6*AVERAGE($Q$7:Q1134))</f>
        <v/>
      </c>
    </row>
    <row r="1135" spans="6:18" x14ac:dyDescent="0.3">
      <c r="F1135" t="str">
        <f>IF(A1135="","",4*AVERAGE($E$7:E1135))</f>
        <v/>
      </c>
      <c r="R1135" t="str">
        <f>IF(L1135="","",6*AVERAGE($Q$7:Q1135))</f>
        <v/>
      </c>
    </row>
    <row r="1136" spans="6:18" x14ac:dyDescent="0.3">
      <c r="F1136" t="str">
        <f>IF(A1136="","",4*AVERAGE($E$7:E1136))</f>
        <v/>
      </c>
      <c r="R1136" t="str">
        <f>IF(L1136="","",6*AVERAGE($Q$7:Q1136))</f>
        <v/>
      </c>
    </row>
    <row r="1137" spans="6:18" x14ac:dyDescent="0.3">
      <c r="F1137" t="str">
        <f>IF(A1137="","",4*AVERAGE($E$7:E1137))</f>
        <v/>
      </c>
      <c r="R1137" t="str">
        <f>IF(L1137="","",6*AVERAGE($Q$7:Q1137))</f>
        <v/>
      </c>
    </row>
    <row r="1138" spans="6:18" x14ac:dyDescent="0.3">
      <c r="F1138" t="str">
        <f>IF(A1138="","",4*AVERAGE($E$7:E1138))</f>
        <v/>
      </c>
      <c r="R1138" t="str">
        <f>IF(L1138="","",6*AVERAGE($Q$7:Q1138))</f>
        <v/>
      </c>
    </row>
    <row r="1139" spans="6:18" x14ac:dyDescent="0.3">
      <c r="F1139" t="str">
        <f>IF(A1139="","",4*AVERAGE($E$7:E1139))</f>
        <v/>
      </c>
      <c r="R1139" t="str">
        <f>IF(L1139="","",6*AVERAGE($Q$7:Q1139))</f>
        <v/>
      </c>
    </row>
    <row r="1140" spans="6:18" x14ac:dyDescent="0.3">
      <c r="F1140" t="str">
        <f>IF(A1140="","",4*AVERAGE($E$7:E1140))</f>
        <v/>
      </c>
      <c r="R1140" t="str">
        <f>IF(L1140="","",6*AVERAGE($Q$7:Q1140))</f>
        <v/>
      </c>
    </row>
    <row r="1141" spans="6:18" x14ac:dyDescent="0.3">
      <c r="F1141" t="str">
        <f>IF(A1141="","",4*AVERAGE($E$7:E1141))</f>
        <v/>
      </c>
      <c r="R1141" t="str">
        <f>IF(L1141="","",6*AVERAGE($Q$7:Q1141))</f>
        <v/>
      </c>
    </row>
    <row r="1142" spans="6:18" x14ac:dyDescent="0.3">
      <c r="F1142" t="str">
        <f>IF(A1142="","",4*AVERAGE($E$7:E1142))</f>
        <v/>
      </c>
      <c r="R1142" t="str">
        <f>IF(L1142="","",6*AVERAGE($Q$7:Q1142))</f>
        <v/>
      </c>
    </row>
    <row r="1143" spans="6:18" x14ac:dyDescent="0.3">
      <c r="F1143" t="str">
        <f>IF(A1143="","",4*AVERAGE($E$7:E1143))</f>
        <v/>
      </c>
      <c r="R1143" t="str">
        <f>IF(L1143="","",6*AVERAGE($Q$7:Q1143))</f>
        <v/>
      </c>
    </row>
    <row r="1144" spans="6:18" x14ac:dyDescent="0.3">
      <c r="F1144" t="str">
        <f>IF(A1144="","",4*AVERAGE($E$7:E1144))</f>
        <v/>
      </c>
      <c r="R1144" t="str">
        <f>IF(L1144="","",6*AVERAGE($Q$7:Q1144))</f>
        <v/>
      </c>
    </row>
    <row r="1145" spans="6:18" x14ac:dyDescent="0.3">
      <c r="F1145" t="str">
        <f>IF(A1145="","",4*AVERAGE($E$7:E1145))</f>
        <v/>
      </c>
      <c r="R1145" t="str">
        <f>IF(L1145="","",6*AVERAGE($Q$7:Q1145))</f>
        <v/>
      </c>
    </row>
    <row r="1146" spans="6:18" x14ac:dyDescent="0.3">
      <c r="F1146" t="str">
        <f>IF(A1146="","",4*AVERAGE($E$7:E1146))</f>
        <v/>
      </c>
      <c r="R1146" t="str">
        <f>IF(L1146="","",6*AVERAGE($Q$7:Q1146))</f>
        <v/>
      </c>
    </row>
    <row r="1147" spans="6:18" x14ac:dyDescent="0.3">
      <c r="F1147" t="str">
        <f>IF(A1147="","",4*AVERAGE($E$7:E1147))</f>
        <v/>
      </c>
      <c r="R1147" t="str">
        <f>IF(L1147="","",6*AVERAGE($Q$7:Q1147))</f>
        <v/>
      </c>
    </row>
    <row r="1148" spans="6:18" x14ac:dyDescent="0.3">
      <c r="F1148" t="str">
        <f>IF(A1148="","",4*AVERAGE($E$7:E1148))</f>
        <v/>
      </c>
      <c r="R1148" t="str">
        <f>IF(L1148="","",6*AVERAGE($Q$7:Q1148))</f>
        <v/>
      </c>
    </row>
    <row r="1149" spans="6:18" x14ac:dyDescent="0.3">
      <c r="F1149" t="str">
        <f>IF(A1149="","",4*AVERAGE($E$7:E1149))</f>
        <v/>
      </c>
      <c r="R1149" t="str">
        <f>IF(L1149="","",6*AVERAGE($Q$7:Q1149))</f>
        <v/>
      </c>
    </row>
    <row r="1150" spans="6:18" x14ac:dyDescent="0.3">
      <c r="F1150" t="str">
        <f>IF(A1150="","",4*AVERAGE($E$7:E1150))</f>
        <v/>
      </c>
      <c r="R1150" t="str">
        <f>IF(L1150="","",6*AVERAGE($Q$7:Q1150))</f>
        <v/>
      </c>
    </row>
    <row r="1151" spans="6:18" x14ac:dyDescent="0.3">
      <c r="F1151" t="str">
        <f>IF(A1151="","",4*AVERAGE($E$7:E1151))</f>
        <v/>
      </c>
      <c r="R1151" t="str">
        <f>IF(L1151="","",6*AVERAGE($Q$7:Q1151))</f>
        <v/>
      </c>
    </row>
    <row r="1152" spans="6:18" x14ac:dyDescent="0.3">
      <c r="F1152" t="str">
        <f>IF(A1152="","",4*AVERAGE($E$7:E1152))</f>
        <v/>
      </c>
      <c r="R1152" t="str">
        <f>IF(L1152="","",6*AVERAGE($Q$7:Q1152))</f>
        <v/>
      </c>
    </row>
    <row r="1153" spans="6:18" x14ac:dyDescent="0.3">
      <c r="F1153" t="str">
        <f>IF(A1153="","",4*AVERAGE($E$7:E1153))</f>
        <v/>
      </c>
      <c r="R1153" t="str">
        <f>IF(L1153="","",6*AVERAGE($Q$7:Q1153))</f>
        <v/>
      </c>
    </row>
    <row r="1154" spans="6:18" x14ac:dyDescent="0.3">
      <c r="F1154" t="str">
        <f>IF(A1154="","",4*AVERAGE($E$7:E1154))</f>
        <v/>
      </c>
      <c r="R1154" t="str">
        <f>IF(L1154="","",6*AVERAGE($Q$7:Q1154))</f>
        <v/>
      </c>
    </row>
    <row r="1155" spans="6:18" x14ac:dyDescent="0.3">
      <c r="F1155" t="str">
        <f>IF(A1155="","",4*AVERAGE($E$7:E1155))</f>
        <v/>
      </c>
      <c r="R1155" t="str">
        <f>IF(L1155="","",6*AVERAGE($Q$7:Q1155))</f>
        <v/>
      </c>
    </row>
    <row r="1156" spans="6:18" x14ac:dyDescent="0.3">
      <c r="F1156" t="str">
        <f>IF(A1156="","",4*AVERAGE($E$7:E1156))</f>
        <v/>
      </c>
      <c r="R1156" t="str">
        <f>IF(L1156="","",6*AVERAGE($Q$7:Q1156))</f>
        <v/>
      </c>
    </row>
    <row r="1157" spans="6:18" x14ac:dyDescent="0.3">
      <c r="F1157" t="str">
        <f>IF(A1157="","",4*AVERAGE($E$7:E1157))</f>
        <v/>
      </c>
      <c r="R1157" t="str">
        <f>IF(L1157="","",6*AVERAGE($Q$7:Q1157))</f>
        <v/>
      </c>
    </row>
    <row r="1158" spans="6:18" x14ac:dyDescent="0.3">
      <c r="F1158" t="str">
        <f>IF(A1158="","",4*AVERAGE($E$7:E1158))</f>
        <v/>
      </c>
      <c r="R1158" t="str">
        <f>IF(L1158="","",6*AVERAGE($Q$7:Q1158))</f>
        <v/>
      </c>
    </row>
    <row r="1159" spans="6:18" x14ac:dyDescent="0.3">
      <c r="F1159" t="str">
        <f>IF(A1159="","",4*AVERAGE($E$7:E1159))</f>
        <v/>
      </c>
      <c r="R1159" t="str">
        <f>IF(L1159="","",6*AVERAGE($Q$7:Q1159))</f>
        <v/>
      </c>
    </row>
    <row r="1160" spans="6:18" x14ac:dyDescent="0.3">
      <c r="F1160" t="str">
        <f>IF(A1160="","",4*AVERAGE($E$7:E1160))</f>
        <v/>
      </c>
      <c r="R1160" t="str">
        <f>IF(L1160="","",6*AVERAGE($Q$7:Q1160))</f>
        <v/>
      </c>
    </row>
    <row r="1161" spans="6:18" x14ac:dyDescent="0.3">
      <c r="F1161" t="str">
        <f>IF(A1161="","",4*AVERAGE($E$7:E1161))</f>
        <v/>
      </c>
      <c r="R1161" t="str">
        <f>IF(L1161="","",6*AVERAGE($Q$7:Q1161))</f>
        <v/>
      </c>
    </row>
    <row r="1162" spans="6:18" x14ac:dyDescent="0.3">
      <c r="F1162" t="str">
        <f>IF(A1162="","",4*AVERAGE($E$7:E1162))</f>
        <v/>
      </c>
      <c r="R1162" t="str">
        <f>IF(L1162="","",6*AVERAGE($Q$7:Q1162))</f>
        <v/>
      </c>
    </row>
    <row r="1163" spans="6:18" x14ac:dyDescent="0.3">
      <c r="F1163" t="str">
        <f>IF(A1163="","",4*AVERAGE($E$7:E1163))</f>
        <v/>
      </c>
      <c r="R1163" t="str">
        <f>IF(L1163="","",6*AVERAGE($Q$7:Q1163))</f>
        <v/>
      </c>
    </row>
    <row r="1164" spans="6:18" x14ac:dyDescent="0.3">
      <c r="F1164" t="str">
        <f>IF(A1164="","",4*AVERAGE($E$7:E1164))</f>
        <v/>
      </c>
      <c r="R1164" t="str">
        <f>IF(L1164="","",6*AVERAGE($Q$7:Q1164))</f>
        <v/>
      </c>
    </row>
    <row r="1165" spans="6:18" x14ac:dyDescent="0.3">
      <c r="F1165" t="str">
        <f>IF(A1165="","",4*AVERAGE($E$7:E1165))</f>
        <v/>
      </c>
      <c r="R1165" t="str">
        <f>IF(L1165="","",6*AVERAGE($Q$7:Q1165))</f>
        <v/>
      </c>
    </row>
    <row r="1166" spans="6:18" x14ac:dyDescent="0.3">
      <c r="F1166" t="str">
        <f>IF(A1166="","",4*AVERAGE($E$7:E1166))</f>
        <v/>
      </c>
      <c r="R1166" t="str">
        <f>IF(L1166="","",6*AVERAGE($Q$7:Q1166))</f>
        <v/>
      </c>
    </row>
    <row r="1167" spans="6:18" x14ac:dyDescent="0.3">
      <c r="F1167" t="str">
        <f>IF(A1167="","",4*AVERAGE($E$7:E1167))</f>
        <v/>
      </c>
      <c r="R1167" t="str">
        <f>IF(L1167="","",6*AVERAGE($Q$7:Q1167))</f>
        <v/>
      </c>
    </row>
    <row r="1168" spans="6:18" x14ac:dyDescent="0.3">
      <c r="F1168" t="str">
        <f>IF(A1168="","",4*AVERAGE($E$7:E1168))</f>
        <v/>
      </c>
      <c r="R1168" t="str">
        <f>IF(L1168="","",6*AVERAGE($Q$7:Q1168))</f>
        <v/>
      </c>
    </row>
    <row r="1169" spans="6:18" x14ac:dyDescent="0.3">
      <c r="F1169" t="str">
        <f>IF(A1169="","",4*AVERAGE($E$7:E1169))</f>
        <v/>
      </c>
      <c r="R1169" t="str">
        <f>IF(L1169="","",6*AVERAGE($Q$7:Q1169))</f>
        <v/>
      </c>
    </row>
    <row r="1170" spans="6:18" x14ac:dyDescent="0.3">
      <c r="F1170" t="str">
        <f>IF(A1170="","",4*AVERAGE($E$7:E1170))</f>
        <v/>
      </c>
      <c r="R1170" t="str">
        <f>IF(L1170="","",6*AVERAGE($Q$7:Q1170))</f>
        <v/>
      </c>
    </row>
    <row r="1171" spans="6:18" x14ac:dyDescent="0.3">
      <c r="F1171" t="str">
        <f>IF(A1171="","",4*AVERAGE($E$7:E1171))</f>
        <v/>
      </c>
      <c r="R1171" t="str">
        <f>IF(L1171="","",6*AVERAGE($Q$7:Q1171))</f>
        <v/>
      </c>
    </row>
    <row r="1172" spans="6:18" x14ac:dyDescent="0.3">
      <c r="F1172" t="str">
        <f>IF(A1172="","",4*AVERAGE($E$7:E1172))</f>
        <v/>
      </c>
      <c r="R1172" t="str">
        <f>IF(L1172="","",6*AVERAGE($Q$7:Q1172))</f>
        <v/>
      </c>
    </row>
    <row r="1173" spans="6:18" x14ac:dyDescent="0.3">
      <c r="F1173" t="str">
        <f>IF(A1173="","",4*AVERAGE($E$7:E1173))</f>
        <v/>
      </c>
      <c r="R1173" t="str">
        <f>IF(L1173="","",6*AVERAGE($Q$7:Q1173))</f>
        <v/>
      </c>
    </row>
    <row r="1174" spans="6:18" x14ac:dyDescent="0.3">
      <c r="F1174" t="str">
        <f>IF(A1174="","",4*AVERAGE($E$7:E1174))</f>
        <v/>
      </c>
      <c r="R1174" t="str">
        <f>IF(L1174="","",6*AVERAGE($Q$7:Q1174))</f>
        <v/>
      </c>
    </row>
    <row r="1175" spans="6:18" x14ac:dyDescent="0.3">
      <c r="F1175" t="str">
        <f>IF(A1175="","",4*AVERAGE($E$7:E1175))</f>
        <v/>
      </c>
      <c r="R1175" t="str">
        <f>IF(L1175="","",6*AVERAGE($Q$7:Q1175))</f>
        <v/>
      </c>
    </row>
    <row r="1176" spans="6:18" x14ac:dyDescent="0.3">
      <c r="F1176" t="str">
        <f>IF(A1176="","",4*AVERAGE($E$7:E1176))</f>
        <v/>
      </c>
      <c r="R1176" t="str">
        <f>IF(L1176="","",6*AVERAGE($Q$7:Q1176))</f>
        <v/>
      </c>
    </row>
    <row r="1177" spans="6:18" x14ac:dyDescent="0.3">
      <c r="F1177" t="str">
        <f>IF(A1177="","",4*AVERAGE($E$7:E1177))</f>
        <v/>
      </c>
      <c r="R1177" t="str">
        <f>IF(L1177="","",6*AVERAGE($Q$7:Q1177))</f>
        <v/>
      </c>
    </row>
    <row r="1178" spans="6:18" x14ac:dyDescent="0.3">
      <c r="F1178" t="str">
        <f>IF(A1178="","",4*AVERAGE($E$7:E1178))</f>
        <v/>
      </c>
      <c r="R1178" t="str">
        <f>IF(L1178="","",6*AVERAGE($Q$7:Q1178))</f>
        <v/>
      </c>
    </row>
    <row r="1179" spans="6:18" x14ac:dyDescent="0.3">
      <c r="F1179" t="str">
        <f>IF(A1179="","",4*AVERAGE($E$7:E1179))</f>
        <v/>
      </c>
      <c r="R1179" t="str">
        <f>IF(L1179="","",6*AVERAGE($Q$7:Q1179))</f>
        <v/>
      </c>
    </row>
    <row r="1180" spans="6:18" x14ac:dyDescent="0.3">
      <c r="F1180" t="str">
        <f>IF(A1180="","",4*AVERAGE($E$7:E1180))</f>
        <v/>
      </c>
      <c r="R1180" t="str">
        <f>IF(L1180="","",6*AVERAGE($Q$7:Q1180))</f>
        <v/>
      </c>
    </row>
    <row r="1181" spans="6:18" x14ac:dyDescent="0.3">
      <c r="F1181" t="str">
        <f>IF(A1181="","",4*AVERAGE($E$7:E1181))</f>
        <v/>
      </c>
      <c r="R1181" t="str">
        <f>IF(L1181="","",6*AVERAGE($Q$7:Q1181))</f>
        <v/>
      </c>
    </row>
    <row r="1182" spans="6:18" x14ac:dyDescent="0.3">
      <c r="F1182" t="str">
        <f>IF(A1182="","",4*AVERAGE($E$7:E1182))</f>
        <v/>
      </c>
      <c r="R1182" t="str">
        <f>IF(L1182="","",6*AVERAGE($Q$7:Q1182))</f>
        <v/>
      </c>
    </row>
    <row r="1183" spans="6:18" x14ac:dyDescent="0.3">
      <c r="F1183" t="str">
        <f>IF(A1183="","",4*AVERAGE($E$7:E1183))</f>
        <v/>
      </c>
      <c r="R1183" t="str">
        <f>IF(L1183="","",6*AVERAGE($Q$7:Q1183))</f>
        <v/>
      </c>
    </row>
    <row r="1184" spans="6:18" x14ac:dyDescent="0.3">
      <c r="F1184" t="str">
        <f>IF(A1184="","",4*AVERAGE($E$7:E1184))</f>
        <v/>
      </c>
      <c r="R1184" t="str">
        <f>IF(L1184="","",6*AVERAGE($Q$7:Q1184))</f>
        <v/>
      </c>
    </row>
    <row r="1185" spans="6:18" x14ac:dyDescent="0.3">
      <c r="F1185" t="str">
        <f>IF(A1185="","",4*AVERAGE($E$7:E1185))</f>
        <v/>
      </c>
      <c r="R1185" t="str">
        <f>IF(L1185="","",6*AVERAGE($Q$7:Q1185))</f>
        <v/>
      </c>
    </row>
    <row r="1186" spans="6:18" x14ac:dyDescent="0.3">
      <c r="F1186" t="str">
        <f>IF(A1186="","",4*AVERAGE($E$7:E1186))</f>
        <v/>
      </c>
      <c r="R1186" t="str">
        <f>IF(L1186="","",6*AVERAGE($Q$7:Q1186))</f>
        <v/>
      </c>
    </row>
    <row r="1187" spans="6:18" x14ac:dyDescent="0.3">
      <c r="F1187" t="str">
        <f>IF(A1187="","",4*AVERAGE($E$7:E1187))</f>
        <v/>
      </c>
      <c r="R1187" t="str">
        <f>IF(L1187="","",6*AVERAGE($Q$7:Q1187))</f>
        <v/>
      </c>
    </row>
    <row r="1188" spans="6:18" x14ac:dyDescent="0.3">
      <c r="F1188" t="str">
        <f>IF(A1188="","",4*AVERAGE($E$7:E1188))</f>
        <v/>
      </c>
      <c r="R1188" t="str">
        <f>IF(L1188="","",6*AVERAGE($Q$7:Q1188))</f>
        <v/>
      </c>
    </row>
    <row r="1189" spans="6:18" x14ac:dyDescent="0.3">
      <c r="F1189" t="str">
        <f>IF(A1189="","",4*AVERAGE($E$7:E1189))</f>
        <v/>
      </c>
      <c r="R1189" t="str">
        <f>IF(L1189="","",6*AVERAGE($Q$7:Q1189))</f>
        <v/>
      </c>
    </row>
    <row r="1190" spans="6:18" x14ac:dyDescent="0.3">
      <c r="F1190" t="str">
        <f>IF(A1190="","",4*AVERAGE($E$7:E1190))</f>
        <v/>
      </c>
      <c r="R1190" t="str">
        <f>IF(L1190="","",6*AVERAGE($Q$7:Q1190))</f>
        <v/>
      </c>
    </row>
    <row r="1191" spans="6:18" x14ac:dyDescent="0.3">
      <c r="F1191" t="str">
        <f>IF(A1191="","",4*AVERAGE($E$7:E1191))</f>
        <v/>
      </c>
      <c r="R1191" t="str">
        <f>IF(L1191="","",6*AVERAGE($Q$7:Q1191))</f>
        <v/>
      </c>
    </row>
    <row r="1192" spans="6:18" x14ac:dyDescent="0.3">
      <c r="F1192" t="str">
        <f>IF(A1192="","",4*AVERAGE($E$7:E1192))</f>
        <v/>
      </c>
      <c r="R1192" t="str">
        <f>IF(L1192="","",6*AVERAGE($Q$7:Q1192))</f>
        <v/>
      </c>
    </row>
    <row r="1193" spans="6:18" x14ac:dyDescent="0.3">
      <c r="F1193" t="str">
        <f>IF(A1193="","",4*AVERAGE($E$7:E1193))</f>
        <v/>
      </c>
      <c r="R1193" t="str">
        <f>IF(L1193="","",6*AVERAGE($Q$7:Q1193))</f>
        <v/>
      </c>
    </row>
    <row r="1194" spans="6:18" x14ac:dyDescent="0.3">
      <c r="F1194" t="str">
        <f>IF(A1194="","",4*AVERAGE($E$7:E1194))</f>
        <v/>
      </c>
      <c r="R1194" t="str">
        <f>IF(L1194="","",6*AVERAGE($Q$7:Q1194))</f>
        <v/>
      </c>
    </row>
    <row r="1195" spans="6:18" x14ac:dyDescent="0.3">
      <c r="F1195" t="str">
        <f>IF(A1195="","",4*AVERAGE($E$7:E1195))</f>
        <v/>
      </c>
      <c r="R1195" t="str">
        <f>IF(L1195="","",6*AVERAGE($Q$7:Q1195))</f>
        <v/>
      </c>
    </row>
    <row r="1196" spans="6:18" x14ac:dyDescent="0.3">
      <c r="F1196" t="str">
        <f>IF(A1196="","",4*AVERAGE($E$7:E1196))</f>
        <v/>
      </c>
      <c r="R1196" t="str">
        <f>IF(L1196="","",6*AVERAGE($Q$7:Q1196))</f>
        <v/>
      </c>
    </row>
    <row r="1197" spans="6:18" x14ac:dyDescent="0.3">
      <c r="F1197" t="str">
        <f>IF(A1197="","",4*AVERAGE($E$7:E1197))</f>
        <v/>
      </c>
      <c r="R1197" t="str">
        <f>IF(L1197="","",6*AVERAGE($Q$7:Q1197))</f>
        <v/>
      </c>
    </row>
    <row r="1198" spans="6:18" x14ac:dyDescent="0.3">
      <c r="F1198" t="str">
        <f>IF(A1198="","",4*AVERAGE($E$7:E1198))</f>
        <v/>
      </c>
      <c r="R1198" t="str">
        <f>IF(L1198="","",6*AVERAGE($Q$7:Q1198))</f>
        <v/>
      </c>
    </row>
    <row r="1199" spans="6:18" x14ac:dyDescent="0.3">
      <c r="F1199" t="str">
        <f>IF(A1199="","",4*AVERAGE($E$7:E1199))</f>
        <v/>
      </c>
      <c r="R1199" t="str">
        <f>IF(L1199="","",6*AVERAGE($Q$7:Q1199))</f>
        <v/>
      </c>
    </row>
    <row r="1200" spans="6:18" x14ac:dyDescent="0.3">
      <c r="F1200" t="str">
        <f>IF(A1200="","",4*AVERAGE($E$7:E1200))</f>
        <v/>
      </c>
      <c r="R1200" t="str">
        <f>IF(L1200="","",6*AVERAGE($Q$7:Q1200))</f>
        <v/>
      </c>
    </row>
    <row r="1201" spans="6:18" x14ac:dyDescent="0.3">
      <c r="F1201" t="str">
        <f>IF(A1201="","",4*AVERAGE($E$7:E1201))</f>
        <v/>
      </c>
      <c r="R1201" t="str">
        <f>IF(L1201="","",6*AVERAGE($Q$7:Q1201))</f>
        <v/>
      </c>
    </row>
    <row r="1202" spans="6:18" x14ac:dyDescent="0.3">
      <c r="F1202" t="str">
        <f>IF(A1202="","",4*AVERAGE($E$7:E1202))</f>
        <v/>
      </c>
      <c r="R1202" t="str">
        <f>IF(L1202="","",6*AVERAGE($Q$7:Q1202))</f>
        <v/>
      </c>
    </row>
    <row r="1203" spans="6:18" x14ac:dyDescent="0.3">
      <c r="F1203" t="str">
        <f>IF(A1203="","",4*AVERAGE($E$7:E1203))</f>
        <v/>
      </c>
      <c r="R1203" t="str">
        <f>IF(L1203="","",6*AVERAGE($Q$7:Q1203))</f>
        <v/>
      </c>
    </row>
    <row r="1204" spans="6:18" x14ac:dyDescent="0.3">
      <c r="F1204" t="str">
        <f>IF(A1204="","",4*AVERAGE($E$7:E1204))</f>
        <v/>
      </c>
      <c r="R1204" t="str">
        <f>IF(L1204="","",6*AVERAGE($Q$7:Q1204))</f>
        <v/>
      </c>
    </row>
    <row r="1205" spans="6:18" x14ac:dyDescent="0.3">
      <c r="F1205" t="str">
        <f>IF(A1205="","",4*AVERAGE($E$7:E1205))</f>
        <v/>
      </c>
      <c r="R1205" t="str">
        <f>IF(L1205="","",6*AVERAGE($Q$7:Q1205))</f>
        <v/>
      </c>
    </row>
    <row r="1206" spans="6:18" x14ac:dyDescent="0.3">
      <c r="F1206" t="str">
        <f>IF(A1206="","",4*AVERAGE($E$7:E1206))</f>
        <v/>
      </c>
      <c r="R1206" t="str">
        <f>IF(L1206="","",6*AVERAGE($Q$7:Q1206))</f>
        <v/>
      </c>
    </row>
    <row r="1207" spans="6:18" x14ac:dyDescent="0.3">
      <c r="F1207" t="str">
        <f>IF(A1207="","",4*AVERAGE($E$7:E1207))</f>
        <v/>
      </c>
      <c r="R1207" t="str">
        <f>IF(L1207="","",6*AVERAGE($Q$7:Q1207))</f>
        <v/>
      </c>
    </row>
    <row r="1208" spans="6:18" x14ac:dyDescent="0.3">
      <c r="F1208" t="str">
        <f>IF(A1208="","",4*AVERAGE($E$7:E1208))</f>
        <v/>
      </c>
      <c r="R1208" t="str">
        <f>IF(L1208="","",6*AVERAGE($Q$7:Q1208))</f>
        <v/>
      </c>
    </row>
    <row r="1209" spans="6:18" x14ac:dyDescent="0.3">
      <c r="F1209" t="str">
        <f>IF(A1209="","",4*AVERAGE($E$7:E1209))</f>
        <v/>
      </c>
      <c r="R1209" t="str">
        <f>IF(L1209="","",6*AVERAGE($Q$7:Q1209))</f>
        <v/>
      </c>
    </row>
    <row r="1210" spans="6:18" x14ac:dyDescent="0.3">
      <c r="F1210" t="str">
        <f>IF(A1210="","",4*AVERAGE($E$7:E1210))</f>
        <v/>
      </c>
      <c r="R1210" t="str">
        <f>IF(L1210="","",6*AVERAGE($Q$7:Q1210))</f>
        <v/>
      </c>
    </row>
    <row r="1211" spans="6:18" x14ac:dyDescent="0.3">
      <c r="F1211" t="str">
        <f>IF(A1211="","",4*AVERAGE($E$7:E1211))</f>
        <v/>
      </c>
      <c r="R1211" t="str">
        <f>IF(L1211="","",6*AVERAGE($Q$7:Q1211))</f>
        <v/>
      </c>
    </row>
    <row r="1212" spans="6:18" x14ac:dyDescent="0.3">
      <c r="F1212" t="str">
        <f>IF(A1212="","",4*AVERAGE($E$7:E1212))</f>
        <v/>
      </c>
      <c r="R1212" t="str">
        <f>IF(L1212="","",6*AVERAGE($Q$7:Q1212))</f>
        <v/>
      </c>
    </row>
    <row r="1213" spans="6:18" x14ac:dyDescent="0.3">
      <c r="F1213" t="str">
        <f>IF(A1213="","",4*AVERAGE($E$7:E1213))</f>
        <v/>
      </c>
      <c r="R1213" t="str">
        <f>IF(L1213="","",6*AVERAGE($Q$7:Q1213))</f>
        <v/>
      </c>
    </row>
    <row r="1214" spans="6:18" x14ac:dyDescent="0.3">
      <c r="F1214" t="str">
        <f>IF(A1214="","",4*AVERAGE($E$7:E1214))</f>
        <v/>
      </c>
      <c r="R1214" t="str">
        <f>IF(L1214="","",6*AVERAGE($Q$7:Q1214))</f>
        <v/>
      </c>
    </row>
    <row r="1215" spans="6:18" x14ac:dyDescent="0.3">
      <c r="F1215" t="str">
        <f>IF(A1215="","",4*AVERAGE($E$7:E1215))</f>
        <v/>
      </c>
      <c r="R1215" t="str">
        <f>IF(L1215="","",6*AVERAGE($Q$7:Q1215))</f>
        <v/>
      </c>
    </row>
    <row r="1216" spans="6:18" x14ac:dyDescent="0.3">
      <c r="F1216" t="str">
        <f>IF(A1216="","",4*AVERAGE($E$7:E1216))</f>
        <v/>
      </c>
      <c r="R1216" t="str">
        <f>IF(L1216="","",6*AVERAGE($Q$7:Q1216))</f>
        <v/>
      </c>
    </row>
    <row r="1217" spans="6:18" x14ac:dyDescent="0.3">
      <c r="F1217" t="str">
        <f>IF(A1217="","",4*AVERAGE($E$7:E1217))</f>
        <v/>
      </c>
      <c r="R1217" t="str">
        <f>IF(L1217="","",6*AVERAGE($Q$7:Q1217))</f>
        <v/>
      </c>
    </row>
    <row r="1218" spans="6:18" x14ac:dyDescent="0.3">
      <c r="F1218" t="str">
        <f>IF(A1218="","",4*AVERAGE($E$7:E1218))</f>
        <v/>
      </c>
      <c r="R1218" t="str">
        <f>IF(L1218="","",6*AVERAGE($Q$7:Q1218))</f>
        <v/>
      </c>
    </row>
    <row r="1219" spans="6:18" x14ac:dyDescent="0.3">
      <c r="F1219" t="str">
        <f>IF(A1219="","",4*AVERAGE($E$7:E1219))</f>
        <v/>
      </c>
      <c r="R1219" t="str">
        <f>IF(L1219="","",6*AVERAGE($Q$7:Q1219))</f>
        <v/>
      </c>
    </row>
    <row r="1220" spans="6:18" x14ac:dyDescent="0.3">
      <c r="F1220" t="str">
        <f>IF(A1220="","",4*AVERAGE($E$7:E1220))</f>
        <v/>
      </c>
      <c r="R1220" t="str">
        <f>IF(L1220="","",6*AVERAGE($Q$7:Q1220))</f>
        <v/>
      </c>
    </row>
    <row r="1221" spans="6:18" x14ac:dyDescent="0.3">
      <c r="F1221" t="str">
        <f>IF(A1221="","",4*AVERAGE($E$7:E1221))</f>
        <v/>
      </c>
      <c r="R1221" t="str">
        <f>IF(L1221="","",6*AVERAGE($Q$7:Q1221))</f>
        <v/>
      </c>
    </row>
    <row r="1222" spans="6:18" x14ac:dyDescent="0.3">
      <c r="F1222" t="str">
        <f>IF(A1222="","",4*AVERAGE($E$7:E1222))</f>
        <v/>
      </c>
      <c r="R1222" t="str">
        <f>IF(L1222="","",6*AVERAGE($Q$7:Q1222))</f>
        <v/>
      </c>
    </row>
    <row r="1223" spans="6:18" x14ac:dyDescent="0.3">
      <c r="F1223" t="str">
        <f>IF(A1223="","",4*AVERAGE($E$7:E1223))</f>
        <v/>
      </c>
      <c r="R1223" t="str">
        <f>IF(L1223="","",6*AVERAGE($Q$7:Q1223))</f>
        <v/>
      </c>
    </row>
    <row r="1224" spans="6:18" x14ac:dyDescent="0.3">
      <c r="F1224" t="str">
        <f>IF(A1224="","",4*AVERAGE($E$7:E1224))</f>
        <v/>
      </c>
      <c r="R1224" t="str">
        <f>IF(L1224="","",6*AVERAGE($Q$7:Q1224))</f>
        <v/>
      </c>
    </row>
    <row r="1225" spans="6:18" x14ac:dyDescent="0.3">
      <c r="F1225" t="str">
        <f>IF(A1225="","",4*AVERAGE($E$7:E1225))</f>
        <v/>
      </c>
      <c r="R1225" t="str">
        <f>IF(L1225="","",6*AVERAGE($Q$7:Q1225))</f>
        <v/>
      </c>
    </row>
    <row r="1226" spans="6:18" x14ac:dyDescent="0.3">
      <c r="F1226" t="str">
        <f>IF(A1226="","",4*AVERAGE($E$7:E1226))</f>
        <v/>
      </c>
      <c r="R1226" t="str">
        <f>IF(L1226="","",6*AVERAGE($Q$7:Q1226))</f>
        <v/>
      </c>
    </row>
    <row r="1227" spans="6:18" x14ac:dyDescent="0.3">
      <c r="F1227" t="str">
        <f>IF(A1227="","",4*AVERAGE($E$7:E1227))</f>
        <v/>
      </c>
      <c r="R1227" t="str">
        <f>IF(L1227="","",6*AVERAGE($Q$7:Q1227))</f>
        <v/>
      </c>
    </row>
    <row r="1228" spans="6:18" x14ac:dyDescent="0.3">
      <c r="F1228" t="str">
        <f>IF(A1228="","",4*AVERAGE($E$7:E1228))</f>
        <v/>
      </c>
      <c r="R1228" t="str">
        <f>IF(L1228="","",6*AVERAGE($Q$7:Q1228))</f>
        <v/>
      </c>
    </row>
    <row r="1229" spans="6:18" x14ac:dyDescent="0.3">
      <c r="F1229" t="str">
        <f>IF(A1229="","",4*AVERAGE($E$7:E1229))</f>
        <v/>
      </c>
      <c r="R1229" t="str">
        <f>IF(L1229="","",6*AVERAGE($Q$7:Q1229))</f>
        <v/>
      </c>
    </row>
    <row r="1230" spans="6:18" x14ac:dyDescent="0.3">
      <c r="F1230" t="str">
        <f>IF(A1230="","",4*AVERAGE($E$7:E1230))</f>
        <v/>
      </c>
      <c r="R1230" t="str">
        <f>IF(L1230="","",6*AVERAGE($Q$7:Q1230))</f>
        <v/>
      </c>
    </row>
    <row r="1231" spans="6:18" x14ac:dyDescent="0.3">
      <c r="F1231" t="str">
        <f>IF(A1231="","",4*AVERAGE($E$7:E1231))</f>
        <v/>
      </c>
      <c r="R1231" t="str">
        <f>IF(L1231="","",6*AVERAGE($Q$7:Q1231))</f>
        <v/>
      </c>
    </row>
    <row r="1232" spans="6:18" x14ac:dyDescent="0.3">
      <c r="F1232" t="str">
        <f>IF(A1232="","",4*AVERAGE($E$7:E1232))</f>
        <v/>
      </c>
      <c r="R1232" t="str">
        <f>IF(L1232="","",6*AVERAGE($Q$7:Q1232))</f>
        <v/>
      </c>
    </row>
    <row r="1233" spans="6:18" x14ac:dyDescent="0.3">
      <c r="F1233" t="str">
        <f>IF(A1233="","",4*AVERAGE($E$7:E1233))</f>
        <v/>
      </c>
      <c r="R1233" t="str">
        <f>IF(L1233="","",6*AVERAGE($Q$7:Q1233))</f>
        <v/>
      </c>
    </row>
    <row r="1234" spans="6:18" x14ac:dyDescent="0.3">
      <c r="F1234" t="str">
        <f>IF(A1234="","",4*AVERAGE($E$7:E1234))</f>
        <v/>
      </c>
      <c r="R1234" t="str">
        <f>IF(L1234="","",6*AVERAGE($Q$7:Q1234))</f>
        <v/>
      </c>
    </row>
    <row r="1235" spans="6:18" x14ac:dyDescent="0.3">
      <c r="F1235" t="str">
        <f>IF(A1235="","",4*AVERAGE($E$7:E1235))</f>
        <v/>
      </c>
      <c r="R1235" t="str">
        <f>IF(L1235="","",6*AVERAGE($Q$7:Q1235))</f>
        <v/>
      </c>
    </row>
    <row r="1236" spans="6:18" x14ac:dyDescent="0.3">
      <c r="F1236" t="str">
        <f>IF(A1236="","",4*AVERAGE($E$7:E1236))</f>
        <v/>
      </c>
      <c r="R1236" t="str">
        <f>IF(L1236="","",6*AVERAGE($Q$7:Q1236))</f>
        <v/>
      </c>
    </row>
    <row r="1237" spans="6:18" x14ac:dyDescent="0.3">
      <c r="F1237" t="str">
        <f>IF(A1237="","",4*AVERAGE($E$7:E1237))</f>
        <v/>
      </c>
      <c r="R1237" t="str">
        <f>IF(L1237="","",6*AVERAGE($Q$7:Q1237))</f>
        <v/>
      </c>
    </row>
    <row r="1238" spans="6:18" x14ac:dyDescent="0.3">
      <c r="F1238" t="str">
        <f>IF(A1238="","",4*AVERAGE($E$7:E1238))</f>
        <v/>
      </c>
      <c r="R1238" t="str">
        <f>IF(L1238="","",6*AVERAGE($Q$7:Q1238))</f>
        <v/>
      </c>
    </row>
    <row r="1239" spans="6:18" x14ac:dyDescent="0.3">
      <c r="F1239" t="str">
        <f>IF(A1239="","",4*AVERAGE($E$7:E1239))</f>
        <v/>
      </c>
      <c r="R1239" t="str">
        <f>IF(L1239="","",6*AVERAGE($Q$7:Q1239))</f>
        <v/>
      </c>
    </row>
    <row r="1240" spans="6:18" x14ac:dyDescent="0.3">
      <c r="F1240" t="str">
        <f>IF(A1240="","",4*AVERAGE($E$7:E1240))</f>
        <v/>
      </c>
      <c r="R1240" t="str">
        <f>IF(L1240="","",6*AVERAGE($Q$7:Q1240))</f>
        <v/>
      </c>
    </row>
    <row r="1241" spans="6:18" x14ac:dyDescent="0.3">
      <c r="F1241" t="str">
        <f>IF(A1241="","",4*AVERAGE($E$7:E1241))</f>
        <v/>
      </c>
      <c r="R1241" t="str">
        <f>IF(L1241="","",6*AVERAGE($Q$7:Q1241))</f>
        <v/>
      </c>
    </row>
    <row r="1242" spans="6:18" x14ac:dyDescent="0.3">
      <c r="F1242" t="str">
        <f>IF(A1242="","",4*AVERAGE($E$7:E1242))</f>
        <v/>
      </c>
      <c r="R1242" t="str">
        <f>IF(L1242="","",6*AVERAGE($Q$7:Q1242))</f>
        <v/>
      </c>
    </row>
    <row r="1243" spans="6:18" x14ac:dyDescent="0.3">
      <c r="F1243" t="str">
        <f>IF(A1243="","",4*AVERAGE($E$7:E1243))</f>
        <v/>
      </c>
      <c r="R1243" t="str">
        <f>IF(L1243="","",6*AVERAGE($Q$7:Q1243))</f>
        <v/>
      </c>
    </row>
    <row r="1244" spans="6:18" x14ac:dyDescent="0.3">
      <c r="F1244" t="str">
        <f>IF(A1244="","",4*AVERAGE($E$7:E1244))</f>
        <v/>
      </c>
      <c r="R1244" t="str">
        <f>IF(L1244="","",6*AVERAGE($Q$7:Q1244))</f>
        <v/>
      </c>
    </row>
    <row r="1245" spans="6:18" x14ac:dyDescent="0.3">
      <c r="F1245" t="str">
        <f>IF(A1245="","",4*AVERAGE($E$7:E1245))</f>
        <v/>
      </c>
      <c r="R1245" t="str">
        <f>IF(L1245="","",6*AVERAGE($Q$7:Q1245))</f>
        <v/>
      </c>
    </row>
    <row r="1246" spans="6:18" x14ac:dyDescent="0.3">
      <c r="F1246" t="str">
        <f>IF(A1246="","",4*AVERAGE($E$7:E1246))</f>
        <v/>
      </c>
      <c r="R1246" t="str">
        <f>IF(L1246="","",6*AVERAGE($Q$7:Q1246))</f>
        <v/>
      </c>
    </row>
    <row r="1247" spans="6:18" x14ac:dyDescent="0.3">
      <c r="F1247" t="str">
        <f>IF(A1247="","",4*AVERAGE($E$7:E1247))</f>
        <v/>
      </c>
      <c r="R1247" t="str">
        <f>IF(L1247="","",6*AVERAGE($Q$7:Q1247))</f>
        <v/>
      </c>
    </row>
    <row r="1248" spans="6:18" x14ac:dyDescent="0.3">
      <c r="F1248" t="str">
        <f>IF(A1248="","",4*AVERAGE($E$7:E1248))</f>
        <v/>
      </c>
      <c r="R1248" t="str">
        <f>IF(L1248="","",6*AVERAGE($Q$7:Q1248))</f>
        <v/>
      </c>
    </row>
    <row r="1249" spans="6:18" x14ac:dyDescent="0.3">
      <c r="F1249" t="str">
        <f>IF(A1249="","",4*AVERAGE($E$7:E1249))</f>
        <v/>
      </c>
      <c r="R1249" t="str">
        <f>IF(L1249="","",6*AVERAGE($Q$7:Q1249))</f>
        <v/>
      </c>
    </row>
    <row r="1250" spans="6:18" x14ac:dyDescent="0.3">
      <c r="F1250" t="str">
        <f>IF(A1250="","",4*AVERAGE($E$7:E1250))</f>
        <v/>
      </c>
      <c r="R1250" t="str">
        <f>IF(L1250="","",6*AVERAGE($Q$7:Q1250))</f>
        <v/>
      </c>
    </row>
    <row r="1251" spans="6:18" x14ac:dyDescent="0.3">
      <c r="F1251" t="str">
        <f>IF(A1251="","",4*AVERAGE($E$7:E1251))</f>
        <v/>
      </c>
      <c r="R1251" t="str">
        <f>IF(L1251="","",6*AVERAGE($Q$7:Q1251))</f>
        <v/>
      </c>
    </row>
    <row r="1252" spans="6:18" x14ac:dyDescent="0.3">
      <c r="F1252" t="str">
        <f>IF(A1252="","",4*AVERAGE($E$7:E1252))</f>
        <v/>
      </c>
      <c r="R1252" t="str">
        <f>IF(L1252="","",6*AVERAGE($Q$7:Q1252))</f>
        <v/>
      </c>
    </row>
    <row r="1253" spans="6:18" x14ac:dyDescent="0.3">
      <c r="F1253" t="str">
        <f>IF(A1253="","",4*AVERAGE($E$7:E1253))</f>
        <v/>
      </c>
      <c r="R1253" t="str">
        <f>IF(L1253="","",6*AVERAGE($Q$7:Q1253))</f>
        <v/>
      </c>
    </row>
    <row r="1254" spans="6:18" x14ac:dyDescent="0.3">
      <c r="F1254" t="str">
        <f>IF(A1254="","",4*AVERAGE($E$7:E1254))</f>
        <v/>
      </c>
      <c r="R1254" t="str">
        <f>IF(L1254="","",6*AVERAGE($Q$7:Q1254))</f>
        <v/>
      </c>
    </row>
    <row r="1255" spans="6:18" x14ac:dyDescent="0.3">
      <c r="F1255" t="str">
        <f>IF(A1255="","",4*AVERAGE($E$7:E1255))</f>
        <v/>
      </c>
      <c r="R1255" t="str">
        <f>IF(L1255="","",6*AVERAGE($Q$7:Q1255))</f>
        <v/>
      </c>
    </row>
    <row r="1256" spans="6:18" x14ac:dyDescent="0.3">
      <c r="F1256" t="str">
        <f>IF(A1256="","",4*AVERAGE($E$7:E1256))</f>
        <v/>
      </c>
      <c r="R1256" t="str">
        <f>IF(L1256="","",6*AVERAGE($Q$7:Q1256))</f>
        <v/>
      </c>
    </row>
    <row r="1257" spans="6:18" x14ac:dyDescent="0.3">
      <c r="F1257" t="str">
        <f>IF(A1257="","",4*AVERAGE($E$7:E1257))</f>
        <v/>
      </c>
      <c r="R1257" t="str">
        <f>IF(L1257="","",6*AVERAGE($Q$7:Q1257))</f>
        <v/>
      </c>
    </row>
    <row r="1258" spans="6:18" x14ac:dyDescent="0.3">
      <c r="F1258" t="str">
        <f>IF(A1258="","",4*AVERAGE($E$7:E1258))</f>
        <v/>
      </c>
      <c r="R1258" t="str">
        <f>IF(L1258="","",6*AVERAGE($Q$7:Q1258))</f>
        <v/>
      </c>
    </row>
    <row r="1259" spans="6:18" x14ac:dyDescent="0.3">
      <c r="F1259" t="str">
        <f>IF(A1259="","",4*AVERAGE($E$7:E1259))</f>
        <v/>
      </c>
      <c r="R1259" t="str">
        <f>IF(L1259="","",6*AVERAGE($Q$7:Q1259))</f>
        <v/>
      </c>
    </row>
    <row r="1260" spans="6:18" x14ac:dyDescent="0.3">
      <c r="F1260" t="str">
        <f>IF(A1260="","",4*AVERAGE($E$7:E1260))</f>
        <v/>
      </c>
      <c r="R1260" t="str">
        <f>IF(L1260="","",6*AVERAGE($Q$7:Q1260))</f>
        <v/>
      </c>
    </row>
    <row r="1261" spans="6:18" x14ac:dyDescent="0.3">
      <c r="F1261" t="str">
        <f>IF(A1261="","",4*AVERAGE($E$7:E1261))</f>
        <v/>
      </c>
      <c r="R1261" t="str">
        <f>IF(L1261="","",6*AVERAGE($Q$7:Q1261))</f>
        <v/>
      </c>
    </row>
    <row r="1262" spans="6:18" x14ac:dyDescent="0.3">
      <c r="F1262" t="str">
        <f>IF(A1262="","",4*AVERAGE($E$7:E1262))</f>
        <v/>
      </c>
      <c r="R1262" t="str">
        <f>IF(L1262="","",6*AVERAGE($Q$7:Q1262))</f>
        <v/>
      </c>
    </row>
    <row r="1263" spans="6:18" x14ac:dyDescent="0.3">
      <c r="F1263" t="str">
        <f>IF(A1263="","",4*AVERAGE($E$7:E1263))</f>
        <v/>
      </c>
      <c r="R1263" t="str">
        <f>IF(L1263="","",6*AVERAGE($Q$7:Q1263))</f>
        <v/>
      </c>
    </row>
    <row r="1264" spans="6:18" x14ac:dyDescent="0.3">
      <c r="F1264" t="str">
        <f>IF(A1264="","",4*AVERAGE($E$7:E1264))</f>
        <v/>
      </c>
      <c r="R1264" t="str">
        <f>IF(L1264="","",6*AVERAGE($Q$7:Q1264))</f>
        <v/>
      </c>
    </row>
    <row r="1265" spans="6:18" x14ac:dyDescent="0.3">
      <c r="F1265" t="str">
        <f>IF(A1265="","",4*AVERAGE($E$7:E1265))</f>
        <v/>
      </c>
      <c r="R1265" t="str">
        <f>IF(L1265="","",6*AVERAGE($Q$7:Q1265))</f>
        <v/>
      </c>
    </row>
    <row r="1266" spans="6:18" x14ac:dyDescent="0.3">
      <c r="F1266" t="str">
        <f>IF(A1266="","",4*AVERAGE($E$7:E1266))</f>
        <v/>
      </c>
      <c r="R1266" t="str">
        <f>IF(L1266="","",6*AVERAGE($Q$7:Q1266))</f>
        <v/>
      </c>
    </row>
    <row r="1267" spans="6:18" x14ac:dyDescent="0.3">
      <c r="F1267" t="str">
        <f>IF(A1267="","",4*AVERAGE($E$7:E1267))</f>
        <v/>
      </c>
      <c r="R1267" t="str">
        <f>IF(L1267="","",6*AVERAGE($Q$7:Q1267))</f>
        <v/>
      </c>
    </row>
    <row r="1268" spans="6:18" x14ac:dyDescent="0.3">
      <c r="F1268" t="str">
        <f>IF(A1268="","",4*AVERAGE($E$7:E1268))</f>
        <v/>
      </c>
      <c r="R1268" t="str">
        <f>IF(L1268="","",6*AVERAGE($Q$7:Q1268))</f>
        <v/>
      </c>
    </row>
    <row r="1269" spans="6:18" x14ac:dyDescent="0.3">
      <c r="F1269" t="str">
        <f>IF(A1269="","",4*AVERAGE($E$7:E1269))</f>
        <v/>
      </c>
      <c r="R1269" t="str">
        <f>IF(L1269="","",6*AVERAGE($Q$7:Q1269))</f>
        <v/>
      </c>
    </row>
    <row r="1270" spans="6:18" x14ac:dyDescent="0.3">
      <c r="F1270" t="str">
        <f>IF(A1270="","",4*AVERAGE($E$7:E1270))</f>
        <v/>
      </c>
      <c r="R1270" t="str">
        <f>IF(L1270="","",6*AVERAGE($Q$7:Q1270))</f>
        <v/>
      </c>
    </row>
    <row r="1271" spans="6:18" x14ac:dyDescent="0.3">
      <c r="F1271" t="str">
        <f>IF(A1271="","",4*AVERAGE($E$7:E1271))</f>
        <v/>
      </c>
      <c r="R1271" t="str">
        <f>IF(L1271="","",6*AVERAGE($Q$7:Q1271))</f>
        <v/>
      </c>
    </row>
    <row r="1272" spans="6:18" x14ac:dyDescent="0.3">
      <c r="F1272" t="str">
        <f>IF(A1272="","",4*AVERAGE($E$7:E1272))</f>
        <v/>
      </c>
      <c r="R1272" t="str">
        <f>IF(L1272="","",6*AVERAGE($Q$7:Q1272))</f>
        <v/>
      </c>
    </row>
    <row r="1273" spans="6:18" x14ac:dyDescent="0.3">
      <c r="F1273" t="str">
        <f>IF(A1273="","",4*AVERAGE($E$7:E1273))</f>
        <v/>
      </c>
      <c r="R1273" t="str">
        <f>IF(L1273="","",6*AVERAGE($Q$7:Q1273))</f>
        <v/>
      </c>
    </row>
    <row r="1274" spans="6:18" x14ac:dyDescent="0.3">
      <c r="F1274" t="str">
        <f>IF(A1274="","",4*AVERAGE($E$7:E1274))</f>
        <v/>
      </c>
      <c r="R1274" t="str">
        <f>IF(L1274="","",6*AVERAGE($Q$7:Q1274))</f>
        <v/>
      </c>
    </row>
    <row r="1275" spans="6:18" x14ac:dyDescent="0.3">
      <c r="F1275" t="str">
        <f>IF(A1275="","",4*AVERAGE($E$7:E1275))</f>
        <v/>
      </c>
      <c r="R1275" t="str">
        <f>IF(L1275="","",6*AVERAGE($Q$7:Q1275))</f>
        <v/>
      </c>
    </row>
    <row r="1276" spans="6:18" x14ac:dyDescent="0.3">
      <c r="F1276" t="str">
        <f>IF(A1276="","",4*AVERAGE($E$7:E1276))</f>
        <v/>
      </c>
      <c r="R1276" t="str">
        <f>IF(L1276="","",6*AVERAGE($Q$7:Q1276))</f>
        <v/>
      </c>
    </row>
    <row r="1277" spans="6:18" x14ac:dyDescent="0.3">
      <c r="F1277" t="str">
        <f>IF(A1277="","",4*AVERAGE($E$7:E1277))</f>
        <v/>
      </c>
      <c r="R1277" t="str">
        <f>IF(L1277="","",6*AVERAGE($Q$7:Q1277))</f>
        <v/>
      </c>
    </row>
    <row r="1278" spans="6:18" x14ac:dyDescent="0.3">
      <c r="F1278" t="str">
        <f>IF(A1278="","",4*AVERAGE($E$7:E1278))</f>
        <v/>
      </c>
      <c r="R1278" t="str">
        <f>IF(L1278="","",6*AVERAGE($Q$7:Q1278))</f>
        <v/>
      </c>
    </row>
    <row r="1279" spans="6:18" x14ac:dyDescent="0.3">
      <c r="F1279" t="str">
        <f>IF(A1279="","",4*AVERAGE($E$7:E1279))</f>
        <v/>
      </c>
      <c r="R1279" t="str">
        <f>IF(L1279="","",6*AVERAGE($Q$7:Q1279))</f>
        <v/>
      </c>
    </row>
    <row r="1280" spans="6:18" x14ac:dyDescent="0.3">
      <c r="F1280" t="str">
        <f>IF(A1280="","",4*AVERAGE($E$7:E1280))</f>
        <v/>
      </c>
      <c r="R1280" t="str">
        <f>IF(L1280="","",6*AVERAGE($Q$7:Q1280))</f>
        <v/>
      </c>
    </row>
    <row r="1281" spans="6:18" x14ac:dyDescent="0.3">
      <c r="F1281" t="str">
        <f>IF(A1281="","",4*AVERAGE($E$7:E1281))</f>
        <v/>
      </c>
      <c r="R1281" t="str">
        <f>IF(L1281="","",6*AVERAGE($Q$7:Q1281))</f>
        <v/>
      </c>
    </row>
    <row r="1282" spans="6:18" x14ac:dyDescent="0.3">
      <c r="F1282" t="str">
        <f>IF(A1282="","",4*AVERAGE($E$7:E1282))</f>
        <v/>
      </c>
      <c r="R1282" t="str">
        <f>IF(L1282="","",6*AVERAGE($Q$7:Q1282))</f>
        <v/>
      </c>
    </row>
    <row r="1283" spans="6:18" x14ac:dyDescent="0.3">
      <c r="F1283" t="str">
        <f>IF(A1283="","",4*AVERAGE($E$7:E1283))</f>
        <v/>
      </c>
      <c r="R1283" t="str">
        <f>IF(L1283="","",6*AVERAGE($Q$7:Q1283))</f>
        <v/>
      </c>
    </row>
    <row r="1284" spans="6:18" x14ac:dyDescent="0.3">
      <c r="F1284" t="str">
        <f>IF(A1284="","",4*AVERAGE($E$7:E1284))</f>
        <v/>
      </c>
      <c r="R1284" t="str">
        <f>IF(L1284="","",6*AVERAGE($Q$7:Q1284))</f>
        <v/>
      </c>
    </row>
    <row r="1285" spans="6:18" x14ac:dyDescent="0.3">
      <c r="F1285" t="str">
        <f>IF(A1285="","",4*AVERAGE($E$7:E1285))</f>
        <v/>
      </c>
      <c r="R1285" t="str">
        <f>IF(L1285="","",6*AVERAGE($Q$7:Q1285))</f>
        <v/>
      </c>
    </row>
    <row r="1286" spans="6:18" x14ac:dyDescent="0.3">
      <c r="F1286" t="str">
        <f>IF(A1286="","",4*AVERAGE($E$7:E1286))</f>
        <v/>
      </c>
      <c r="R1286" t="str">
        <f>IF(L1286="","",6*AVERAGE($Q$7:Q1286))</f>
        <v/>
      </c>
    </row>
    <row r="1287" spans="6:18" x14ac:dyDescent="0.3">
      <c r="F1287" t="str">
        <f>IF(A1287="","",4*AVERAGE($E$7:E1287))</f>
        <v/>
      </c>
      <c r="R1287" t="str">
        <f>IF(L1287="","",6*AVERAGE($Q$7:Q1287))</f>
        <v/>
      </c>
    </row>
    <row r="1288" spans="6:18" x14ac:dyDescent="0.3">
      <c r="F1288" t="str">
        <f>IF(A1288="","",4*AVERAGE($E$7:E1288))</f>
        <v/>
      </c>
      <c r="R1288" t="str">
        <f>IF(L1288="","",6*AVERAGE($Q$7:Q1288))</f>
        <v/>
      </c>
    </row>
    <row r="1289" spans="6:18" x14ac:dyDescent="0.3">
      <c r="F1289" t="str">
        <f>IF(A1289="","",4*AVERAGE($E$7:E1289))</f>
        <v/>
      </c>
      <c r="R1289" t="str">
        <f>IF(L1289="","",6*AVERAGE($Q$7:Q1289))</f>
        <v/>
      </c>
    </row>
    <row r="1290" spans="6:18" x14ac:dyDescent="0.3">
      <c r="F1290" t="str">
        <f>IF(A1290="","",4*AVERAGE($E$7:E1290))</f>
        <v/>
      </c>
      <c r="R1290" t="str">
        <f>IF(L1290="","",6*AVERAGE($Q$7:Q1290))</f>
        <v/>
      </c>
    </row>
    <row r="1291" spans="6:18" x14ac:dyDescent="0.3">
      <c r="F1291" t="str">
        <f>IF(A1291="","",4*AVERAGE($E$7:E1291))</f>
        <v/>
      </c>
      <c r="R1291" t="str">
        <f>IF(L1291="","",6*AVERAGE($Q$7:Q1291))</f>
        <v/>
      </c>
    </row>
    <row r="1292" spans="6:18" x14ac:dyDescent="0.3">
      <c r="F1292" t="str">
        <f>IF(A1292="","",4*AVERAGE($E$7:E1292))</f>
        <v/>
      </c>
      <c r="R1292" t="str">
        <f>IF(L1292="","",6*AVERAGE($Q$7:Q1292))</f>
        <v/>
      </c>
    </row>
    <row r="1293" spans="6:18" x14ac:dyDescent="0.3">
      <c r="F1293" t="str">
        <f>IF(A1293="","",4*AVERAGE($E$7:E1293))</f>
        <v/>
      </c>
      <c r="R1293" t="str">
        <f>IF(L1293="","",6*AVERAGE($Q$7:Q1293))</f>
        <v/>
      </c>
    </row>
    <row r="1294" spans="6:18" x14ac:dyDescent="0.3">
      <c r="F1294" t="str">
        <f>IF(A1294="","",4*AVERAGE($E$7:E1294))</f>
        <v/>
      </c>
      <c r="R1294" t="str">
        <f>IF(L1294="","",6*AVERAGE($Q$7:Q1294))</f>
        <v/>
      </c>
    </row>
    <row r="1295" spans="6:18" x14ac:dyDescent="0.3">
      <c r="F1295" t="str">
        <f>IF(A1295="","",4*AVERAGE($E$7:E1295))</f>
        <v/>
      </c>
      <c r="R1295" t="str">
        <f>IF(L1295="","",6*AVERAGE($Q$7:Q1295))</f>
        <v/>
      </c>
    </row>
    <row r="1296" spans="6:18" x14ac:dyDescent="0.3">
      <c r="F1296" t="str">
        <f>IF(A1296="","",4*AVERAGE($E$7:E1296))</f>
        <v/>
      </c>
      <c r="R1296" t="str">
        <f>IF(L1296="","",6*AVERAGE($Q$7:Q1296))</f>
        <v/>
      </c>
    </row>
    <row r="1297" spans="6:18" x14ac:dyDescent="0.3">
      <c r="F1297" t="str">
        <f>IF(A1297="","",4*AVERAGE($E$7:E1297))</f>
        <v/>
      </c>
      <c r="R1297" t="str">
        <f>IF(L1297="","",6*AVERAGE($Q$7:Q1297))</f>
        <v/>
      </c>
    </row>
    <row r="1298" spans="6:18" x14ac:dyDescent="0.3">
      <c r="F1298" t="str">
        <f>IF(A1298="","",4*AVERAGE($E$7:E1298))</f>
        <v/>
      </c>
      <c r="R1298" t="str">
        <f>IF(L1298="","",6*AVERAGE($Q$7:Q1298))</f>
        <v/>
      </c>
    </row>
    <row r="1299" spans="6:18" x14ac:dyDescent="0.3">
      <c r="F1299" t="str">
        <f>IF(A1299="","",4*AVERAGE($E$7:E1299))</f>
        <v/>
      </c>
      <c r="R1299" t="str">
        <f>IF(L1299="","",6*AVERAGE($Q$7:Q1299))</f>
        <v/>
      </c>
    </row>
    <row r="1300" spans="6:18" x14ac:dyDescent="0.3">
      <c r="F1300" t="str">
        <f>IF(A1300="","",4*AVERAGE($E$7:E1300))</f>
        <v/>
      </c>
      <c r="R1300" t="str">
        <f>IF(L1300="","",6*AVERAGE($Q$7:Q1300))</f>
        <v/>
      </c>
    </row>
    <row r="1301" spans="6:18" x14ac:dyDescent="0.3">
      <c r="F1301" t="str">
        <f>IF(A1301="","",4*AVERAGE($E$7:E1301))</f>
        <v/>
      </c>
      <c r="R1301" t="str">
        <f>IF(L1301="","",6*AVERAGE($Q$7:Q1301))</f>
        <v/>
      </c>
    </row>
    <row r="1302" spans="6:18" x14ac:dyDescent="0.3">
      <c r="F1302" t="str">
        <f>IF(A1302="","",4*AVERAGE($E$7:E1302))</f>
        <v/>
      </c>
      <c r="R1302" t="str">
        <f>IF(L1302="","",6*AVERAGE($Q$7:Q1302))</f>
        <v/>
      </c>
    </row>
    <row r="1303" spans="6:18" x14ac:dyDescent="0.3">
      <c r="F1303" t="str">
        <f>IF(A1303="","",4*AVERAGE($E$7:E1303))</f>
        <v/>
      </c>
      <c r="R1303" t="str">
        <f>IF(L1303="","",6*AVERAGE($Q$7:Q1303))</f>
        <v/>
      </c>
    </row>
    <row r="1304" spans="6:18" x14ac:dyDescent="0.3">
      <c r="F1304" t="str">
        <f>IF(A1304="","",4*AVERAGE($E$7:E1304))</f>
        <v/>
      </c>
      <c r="R1304" t="str">
        <f>IF(L1304="","",6*AVERAGE($Q$7:Q1304))</f>
        <v/>
      </c>
    </row>
    <row r="1305" spans="6:18" x14ac:dyDescent="0.3">
      <c r="F1305" t="str">
        <f>IF(A1305="","",4*AVERAGE($E$7:E1305))</f>
        <v/>
      </c>
      <c r="R1305" t="str">
        <f>IF(L1305="","",6*AVERAGE($Q$7:Q1305))</f>
        <v/>
      </c>
    </row>
    <row r="1306" spans="6:18" x14ac:dyDescent="0.3">
      <c r="F1306" t="str">
        <f>IF(A1306="","",4*AVERAGE($E$7:E1306))</f>
        <v/>
      </c>
      <c r="R1306" t="str">
        <f>IF(L1306="","",6*AVERAGE($Q$7:Q1306))</f>
        <v/>
      </c>
    </row>
    <row r="1307" spans="6:18" x14ac:dyDescent="0.3">
      <c r="F1307" t="str">
        <f>IF(A1307="","",4*AVERAGE($E$7:E1307))</f>
        <v/>
      </c>
      <c r="R1307" t="str">
        <f>IF(L1307="","",6*AVERAGE($Q$7:Q1307))</f>
        <v/>
      </c>
    </row>
    <row r="1308" spans="6:18" x14ac:dyDescent="0.3">
      <c r="F1308" t="str">
        <f>IF(A1308="","",4*AVERAGE($E$7:E1308))</f>
        <v/>
      </c>
      <c r="R1308" t="str">
        <f>IF(L1308="","",6*AVERAGE($Q$7:Q1308))</f>
        <v/>
      </c>
    </row>
    <row r="1309" spans="6:18" x14ac:dyDescent="0.3">
      <c r="F1309" t="str">
        <f>IF(A1309="","",4*AVERAGE($E$7:E1309))</f>
        <v/>
      </c>
      <c r="R1309" t="str">
        <f>IF(L1309="","",6*AVERAGE($Q$7:Q1309))</f>
        <v/>
      </c>
    </row>
    <row r="1310" spans="6:18" x14ac:dyDescent="0.3">
      <c r="F1310" t="str">
        <f>IF(A1310="","",4*AVERAGE($E$7:E1310))</f>
        <v/>
      </c>
      <c r="R1310" t="str">
        <f>IF(L1310="","",6*AVERAGE($Q$7:Q1310))</f>
        <v/>
      </c>
    </row>
    <row r="1311" spans="6:18" x14ac:dyDescent="0.3">
      <c r="F1311" t="str">
        <f>IF(A1311="","",4*AVERAGE($E$7:E1311))</f>
        <v/>
      </c>
      <c r="R1311" t="str">
        <f>IF(L1311="","",6*AVERAGE($Q$7:Q1311))</f>
        <v/>
      </c>
    </row>
    <row r="1312" spans="6:18" x14ac:dyDescent="0.3">
      <c r="F1312" t="str">
        <f>IF(A1312="","",4*AVERAGE($E$7:E1312))</f>
        <v/>
      </c>
      <c r="R1312" t="str">
        <f>IF(L1312="","",6*AVERAGE($Q$7:Q1312))</f>
        <v/>
      </c>
    </row>
    <row r="1313" spans="6:18" x14ac:dyDescent="0.3">
      <c r="F1313" t="str">
        <f>IF(A1313="","",4*AVERAGE($E$7:E1313))</f>
        <v/>
      </c>
      <c r="R1313" t="str">
        <f>IF(L1313="","",6*AVERAGE($Q$7:Q1313))</f>
        <v/>
      </c>
    </row>
    <row r="1314" spans="6:18" x14ac:dyDescent="0.3">
      <c r="F1314" t="str">
        <f>IF(A1314="","",4*AVERAGE($E$7:E1314))</f>
        <v/>
      </c>
      <c r="R1314" t="str">
        <f>IF(L1314="","",6*AVERAGE($Q$7:Q1314))</f>
        <v/>
      </c>
    </row>
    <row r="1315" spans="6:18" x14ac:dyDescent="0.3">
      <c r="F1315" t="str">
        <f>IF(A1315="","",4*AVERAGE($E$7:E1315))</f>
        <v/>
      </c>
      <c r="R1315" t="str">
        <f>IF(L1315="","",6*AVERAGE($Q$7:Q1315))</f>
        <v/>
      </c>
    </row>
    <row r="1316" spans="6:18" x14ac:dyDescent="0.3">
      <c r="F1316" t="str">
        <f>IF(A1316="","",4*AVERAGE($E$7:E1316))</f>
        <v/>
      </c>
      <c r="R1316" t="str">
        <f>IF(L1316="","",6*AVERAGE($Q$7:Q1316))</f>
        <v/>
      </c>
    </row>
    <row r="1317" spans="6:18" x14ac:dyDescent="0.3">
      <c r="F1317" t="str">
        <f>IF(A1317="","",4*AVERAGE($E$7:E1317))</f>
        <v/>
      </c>
      <c r="R1317" t="str">
        <f>IF(L1317="","",6*AVERAGE($Q$7:Q1317))</f>
        <v/>
      </c>
    </row>
    <row r="1318" spans="6:18" x14ac:dyDescent="0.3">
      <c r="F1318" t="str">
        <f>IF(A1318="","",4*AVERAGE($E$7:E1318))</f>
        <v/>
      </c>
      <c r="R1318" t="str">
        <f>IF(L1318="","",6*AVERAGE($Q$7:Q1318))</f>
        <v/>
      </c>
    </row>
    <row r="1319" spans="6:18" x14ac:dyDescent="0.3">
      <c r="F1319" t="str">
        <f>IF(A1319="","",4*AVERAGE($E$7:E1319))</f>
        <v/>
      </c>
      <c r="R1319" t="str">
        <f>IF(L1319="","",6*AVERAGE($Q$7:Q1319))</f>
        <v/>
      </c>
    </row>
    <row r="1320" spans="6:18" x14ac:dyDescent="0.3">
      <c r="F1320" t="str">
        <f>IF(A1320="","",4*AVERAGE($E$7:E1320))</f>
        <v/>
      </c>
      <c r="R1320" t="str">
        <f>IF(L1320="","",6*AVERAGE($Q$7:Q1320))</f>
        <v/>
      </c>
    </row>
    <row r="1321" spans="6:18" x14ac:dyDescent="0.3">
      <c r="F1321" t="str">
        <f>IF(A1321="","",4*AVERAGE($E$7:E1321))</f>
        <v/>
      </c>
      <c r="R1321" t="str">
        <f>IF(L1321="","",6*AVERAGE($Q$7:Q1321))</f>
        <v/>
      </c>
    </row>
    <row r="1322" spans="6:18" x14ac:dyDescent="0.3">
      <c r="F1322" t="str">
        <f>IF(A1322="","",4*AVERAGE($E$7:E1322))</f>
        <v/>
      </c>
      <c r="R1322" t="str">
        <f>IF(L1322="","",6*AVERAGE($Q$7:Q1322))</f>
        <v/>
      </c>
    </row>
    <row r="1323" spans="6:18" x14ac:dyDescent="0.3">
      <c r="F1323" t="str">
        <f>IF(A1323="","",4*AVERAGE($E$7:E1323))</f>
        <v/>
      </c>
      <c r="R1323" t="str">
        <f>IF(L1323="","",6*AVERAGE($Q$7:Q1323))</f>
        <v/>
      </c>
    </row>
    <row r="1324" spans="6:18" x14ac:dyDescent="0.3">
      <c r="F1324" t="str">
        <f>IF(A1324="","",4*AVERAGE($E$7:E1324))</f>
        <v/>
      </c>
      <c r="R1324" t="str">
        <f>IF(L1324="","",6*AVERAGE($Q$7:Q1324))</f>
        <v/>
      </c>
    </row>
    <row r="1325" spans="6:18" x14ac:dyDescent="0.3">
      <c r="F1325" t="str">
        <f>IF(A1325="","",4*AVERAGE($E$7:E1325))</f>
        <v/>
      </c>
      <c r="R1325" t="str">
        <f>IF(L1325="","",6*AVERAGE($Q$7:Q1325))</f>
        <v/>
      </c>
    </row>
    <row r="1326" spans="6:18" x14ac:dyDescent="0.3">
      <c r="F1326" t="str">
        <f>IF(A1326="","",4*AVERAGE($E$7:E1326))</f>
        <v/>
      </c>
      <c r="R1326" t="str">
        <f>IF(L1326="","",6*AVERAGE($Q$7:Q1326))</f>
        <v/>
      </c>
    </row>
    <row r="1327" spans="6:18" x14ac:dyDescent="0.3">
      <c r="F1327" t="str">
        <f>IF(A1327="","",4*AVERAGE($E$7:E1327))</f>
        <v/>
      </c>
      <c r="R1327" t="str">
        <f>IF(L1327="","",6*AVERAGE($Q$7:Q1327))</f>
        <v/>
      </c>
    </row>
    <row r="1328" spans="6:18" x14ac:dyDescent="0.3">
      <c r="F1328" t="str">
        <f>IF(A1328="","",4*AVERAGE($E$7:E1328))</f>
        <v/>
      </c>
      <c r="R1328" t="str">
        <f>IF(L1328="","",6*AVERAGE($Q$7:Q1328))</f>
        <v/>
      </c>
    </row>
    <row r="1329" spans="6:18" x14ac:dyDescent="0.3">
      <c r="F1329" t="str">
        <f>IF(A1329="","",4*AVERAGE($E$7:E1329))</f>
        <v/>
      </c>
      <c r="R1329" t="str">
        <f>IF(L1329="","",6*AVERAGE($Q$7:Q1329))</f>
        <v/>
      </c>
    </row>
    <row r="1330" spans="6:18" x14ac:dyDescent="0.3">
      <c r="F1330" t="str">
        <f>IF(A1330="","",4*AVERAGE($E$7:E1330))</f>
        <v/>
      </c>
      <c r="R1330" t="str">
        <f>IF(L1330="","",6*AVERAGE($Q$7:Q1330))</f>
        <v/>
      </c>
    </row>
    <row r="1331" spans="6:18" x14ac:dyDescent="0.3">
      <c r="F1331" t="str">
        <f>IF(A1331="","",4*AVERAGE($E$7:E1331))</f>
        <v/>
      </c>
      <c r="R1331" t="str">
        <f>IF(L1331="","",6*AVERAGE($Q$7:Q1331))</f>
        <v/>
      </c>
    </row>
    <row r="1332" spans="6:18" x14ac:dyDescent="0.3">
      <c r="F1332" t="str">
        <f>IF(A1332="","",4*AVERAGE($E$7:E1332))</f>
        <v/>
      </c>
      <c r="R1332" t="str">
        <f>IF(L1332="","",6*AVERAGE($Q$7:Q1332))</f>
        <v/>
      </c>
    </row>
    <row r="1333" spans="6:18" x14ac:dyDescent="0.3">
      <c r="F1333" t="str">
        <f>IF(A1333="","",4*AVERAGE($E$7:E1333))</f>
        <v/>
      </c>
      <c r="R1333" t="str">
        <f>IF(L1333="","",6*AVERAGE($Q$7:Q1333))</f>
        <v/>
      </c>
    </row>
    <row r="1334" spans="6:18" x14ac:dyDescent="0.3">
      <c r="F1334" t="str">
        <f>IF(A1334="","",4*AVERAGE($E$7:E1334))</f>
        <v/>
      </c>
      <c r="R1334" t="str">
        <f>IF(L1334="","",6*AVERAGE($Q$7:Q1334))</f>
        <v/>
      </c>
    </row>
    <row r="1335" spans="6:18" x14ac:dyDescent="0.3">
      <c r="F1335" t="str">
        <f>IF(A1335="","",4*AVERAGE($E$7:E1335))</f>
        <v/>
      </c>
      <c r="R1335" t="str">
        <f>IF(L1335="","",6*AVERAGE($Q$7:Q1335))</f>
        <v/>
      </c>
    </row>
    <row r="1336" spans="6:18" x14ac:dyDescent="0.3">
      <c r="F1336" t="str">
        <f>IF(A1336="","",4*AVERAGE($E$7:E1336))</f>
        <v/>
      </c>
      <c r="R1336" t="str">
        <f>IF(L1336="","",6*AVERAGE($Q$7:Q1336))</f>
        <v/>
      </c>
    </row>
    <row r="1337" spans="6:18" x14ac:dyDescent="0.3">
      <c r="F1337" t="str">
        <f>IF(A1337="","",4*AVERAGE($E$7:E1337))</f>
        <v/>
      </c>
      <c r="R1337" t="str">
        <f>IF(L1337="","",6*AVERAGE($Q$7:Q1337))</f>
        <v/>
      </c>
    </row>
    <row r="1338" spans="6:18" x14ac:dyDescent="0.3">
      <c r="F1338" t="str">
        <f>IF(A1338="","",4*AVERAGE($E$7:E1338))</f>
        <v/>
      </c>
      <c r="R1338" t="str">
        <f>IF(L1338="","",6*AVERAGE($Q$7:Q1338))</f>
        <v/>
      </c>
    </row>
    <row r="1339" spans="6:18" x14ac:dyDescent="0.3">
      <c r="F1339" t="str">
        <f>IF(A1339="","",4*AVERAGE($E$7:E1339))</f>
        <v/>
      </c>
      <c r="R1339" t="str">
        <f>IF(L1339="","",6*AVERAGE($Q$7:Q1339))</f>
        <v/>
      </c>
    </row>
    <row r="1340" spans="6:18" x14ac:dyDescent="0.3">
      <c r="F1340" t="str">
        <f>IF(A1340="","",4*AVERAGE($E$7:E1340))</f>
        <v/>
      </c>
      <c r="R1340" t="str">
        <f>IF(L1340="","",6*AVERAGE($Q$7:Q1340))</f>
        <v/>
      </c>
    </row>
    <row r="1341" spans="6:18" x14ac:dyDescent="0.3">
      <c r="F1341" t="str">
        <f>IF(A1341="","",4*AVERAGE($E$7:E1341))</f>
        <v/>
      </c>
      <c r="R1341" t="str">
        <f>IF(L1341="","",6*AVERAGE($Q$7:Q1341))</f>
        <v/>
      </c>
    </row>
    <row r="1342" spans="6:18" x14ac:dyDescent="0.3">
      <c r="F1342" t="str">
        <f>IF(A1342="","",4*AVERAGE($E$7:E1342))</f>
        <v/>
      </c>
      <c r="R1342" t="str">
        <f>IF(L1342="","",6*AVERAGE($Q$7:Q1342))</f>
        <v/>
      </c>
    </row>
    <row r="1343" spans="6:18" x14ac:dyDescent="0.3">
      <c r="F1343" t="str">
        <f>IF(A1343="","",4*AVERAGE($E$7:E1343))</f>
        <v/>
      </c>
      <c r="R1343" t="str">
        <f>IF(L1343="","",6*AVERAGE($Q$7:Q1343))</f>
        <v/>
      </c>
    </row>
    <row r="1344" spans="6:18" x14ac:dyDescent="0.3">
      <c r="F1344" t="str">
        <f>IF(A1344="","",4*AVERAGE($E$7:E1344))</f>
        <v/>
      </c>
      <c r="R1344" t="str">
        <f>IF(L1344="","",6*AVERAGE($Q$7:Q1344))</f>
        <v/>
      </c>
    </row>
    <row r="1345" spans="6:18" x14ac:dyDescent="0.3">
      <c r="F1345" t="str">
        <f>IF(A1345="","",4*AVERAGE($E$7:E1345))</f>
        <v/>
      </c>
      <c r="R1345" t="str">
        <f>IF(L1345="","",6*AVERAGE($Q$7:Q1345))</f>
        <v/>
      </c>
    </row>
    <row r="1346" spans="6:18" x14ac:dyDescent="0.3">
      <c r="F1346" t="str">
        <f>IF(A1346="","",4*AVERAGE($E$7:E1346))</f>
        <v/>
      </c>
      <c r="R1346" t="str">
        <f>IF(L1346="","",6*AVERAGE($Q$7:Q1346))</f>
        <v/>
      </c>
    </row>
    <row r="1347" spans="6:18" x14ac:dyDescent="0.3">
      <c r="F1347" t="str">
        <f>IF(A1347="","",4*AVERAGE($E$7:E1347))</f>
        <v/>
      </c>
      <c r="R1347" t="str">
        <f>IF(L1347="","",6*AVERAGE($Q$7:Q1347))</f>
        <v/>
      </c>
    </row>
    <row r="1348" spans="6:18" x14ac:dyDescent="0.3">
      <c r="F1348" t="str">
        <f>IF(A1348="","",4*AVERAGE($E$7:E1348))</f>
        <v/>
      </c>
      <c r="R1348" t="str">
        <f>IF(L1348="","",6*AVERAGE($Q$7:Q1348))</f>
        <v/>
      </c>
    </row>
    <row r="1349" spans="6:18" x14ac:dyDescent="0.3">
      <c r="F1349" t="str">
        <f>IF(A1349="","",4*AVERAGE($E$7:E1349))</f>
        <v/>
      </c>
      <c r="R1349" t="str">
        <f>IF(L1349="","",6*AVERAGE($Q$7:Q1349))</f>
        <v/>
      </c>
    </row>
    <row r="1350" spans="6:18" x14ac:dyDescent="0.3">
      <c r="F1350" t="str">
        <f>IF(A1350="","",4*AVERAGE($E$7:E1350))</f>
        <v/>
      </c>
      <c r="R1350" t="str">
        <f>IF(L1350="","",6*AVERAGE($Q$7:Q1350))</f>
        <v/>
      </c>
    </row>
    <row r="1351" spans="6:18" x14ac:dyDescent="0.3">
      <c r="F1351" t="str">
        <f>IF(A1351="","",4*AVERAGE($E$7:E1351))</f>
        <v/>
      </c>
      <c r="R1351" t="str">
        <f>IF(L1351="","",6*AVERAGE($Q$7:Q1351))</f>
        <v/>
      </c>
    </row>
    <row r="1352" spans="6:18" x14ac:dyDescent="0.3">
      <c r="F1352" t="str">
        <f>IF(A1352="","",4*AVERAGE($E$7:E1352))</f>
        <v/>
      </c>
      <c r="R1352" t="str">
        <f>IF(L1352="","",6*AVERAGE($Q$7:Q1352))</f>
        <v/>
      </c>
    </row>
    <row r="1353" spans="6:18" x14ac:dyDescent="0.3">
      <c r="F1353" t="str">
        <f>IF(A1353="","",4*AVERAGE($E$7:E1353))</f>
        <v/>
      </c>
      <c r="R1353" t="str">
        <f>IF(L1353="","",6*AVERAGE($Q$7:Q1353))</f>
        <v/>
      </c>
    </row>
    <row r="1354" spans="6:18" x14ac:dyDescent="0.3">
      <c r="F1354" t="str">
        <f>IF(A1354="","",4*AVERAGE($E$7:E1354))</f>
        <v/>
      </c>
      <c r="R1354" t="str">
        <f>IF(L1354="","",6*AVERAGE($Q$7:Q1354))</f>
        <v/>
      </c>
    </row>
    <row r="1355" spans="6:18" x14ac:dyDescent="0.3">
      <c r="F1355" t="str">
        <f>IF(A1355="","",4*AVERAGE($E$7:E1355))</f>
        <v/>
      </c>
      <c r="R1355" t="str">
        <f>IF(L1355="","",6*AVERAGE($Q$7:Q1355))</f>
        <v/>
      </c>
    </row>
    <row r="1356" spans="6:18" x14ac:dyDescent="0.3">
      <c r="F1356" t="str">
        <f>IF(A1356="","",4*AVERAGE($E$7:E1356))</f>
        <v/>
      </c>
      <c r="R1356" t="str">
        <f>IF(L1356="","",6*AVERAGE($Q$7:Q1356))</f>
        <v/>
      </c>
    </row>
    <row r="1357" spans="6:18" x14ac:dyDescent="0.3">
      <c r="F1357" t="str">
        <f>IF(A1357="","",4*AVERAGE($E$7:E1357))</f>
        <v/>
      </c>
      <c r="R1357" t="str">
        <f>IF(L1357="","",6*AVERAGE($Q$7:Q1357))</f>
        <v/>
      </c>
    </row>
    <row r="1358" spans="6:18" x14ac:dyDescent="0.3">
      <c r="F1358" t="str">
        <f>IF(A1358="","",4*AVERAGE($E$7:E1358))</f>
        <v/>
      </c>
      <c r="R1358" t="str">
        <f>IF(L1358="","",6*AVERAGE($Q$7:Q1358))</f>
        <v/>
      </c>
    </row>
    <row r="1359" spans="6:18" x14ac:dyDescent="0.3">
      <c r="F1359" t="str">
        <f>IF(A1359="","",4*AVERAGE($E$7:E1359))</f>
        <v/>
      </c>
      <c r="R1359" t="str">
        <f>IF(L1359="","",6*AVERAGE($Q$7:Q1359))</f>
        <v/>
      </c>
    </row>
    <row r="1360" spans="6:18" x14ac:dyDescent="0.3">
      <c r="F1360" t="str">
        <f>IF(A1360="","",4*AVERAGE($E$7:E1360))</f>
        <v/>
      </c>
      <c r="R1360" t="str">
        <f>IF(L1360="","",6*AVERAGE($Q$7:Q1360))</f>
        <v/>
      </c>
    </row>
    <row r="1361" spans="6:18" x14ac:dyDescent="0.3">
      <c r="F1361" t="str">
        <f>IF(A1361="","",4*AVERAGE($E$7:E1361))</f>
        <v/>
      </c>
      <c r="R1361" t="str">
        <f>IF(L1361="","",6*AVERAGE($Q$7:Q1361))</f>
        <v/>
      </c>
    </row>
    <row r="1362" spans="6:18" x14ac:dyDescent="0.3">
      <c r="F1362" t="str">
        <f>IF(A1362="","",4*AVERAGE($E$7:E1362))</f>
        <v/>
      </c>
      <c r="R1362" t="str">
        <f>IF(L1362="","",6*AVERAGE($Q$7:Q1362))</f>
        <v/>
      </c>
    </row>
    <row r="1363" spans="6:18" x14ac:dyDescent="0.3">
      <c r="F1363" t="str">
        <f>IF(A1363="","",4*AVERAGE($E$7:E1363))</f>
        <v/>
      </c>
      <c r="R1363" t="str">
        <f>IF(L1363="","",6*AVERAGE($Q$7:Q1363))</f>
        <v/>
      </c>
    </row>
    <row r="1364" spans="6:18" x14ac:dyDescent="0.3">
      <c r="F1364" t="str">
        <f>IF(A1364="","",4*AVERAGE($E$7:E1364))</f>
        <v/>
      </c>
      <c r="R1364" t="str">
        <f>IF(L1364="","",6*AVERAGE($Q$7:Q1364))</f>
        <v/>
      </c>
    </row>
    <row r="1365" spans="6:18" x14ac:dyDescent="0.3">
      <c r="F1365" t="str">
        <f>IF(A1365="","",4*AVERAGE($E$7:E1365))</f>
        <v/>
      </c>
      <c r="R1365" t="str">
        <f>IF(L1365="","",6*AVERAGE($Q$7:Q1365))</f>
        <v/>
      </c>
    </row>
    <row r="1366" spans="6:18" x14ac:dyDescent="0.3">
      <c r="F1366" t="str">
        <f>IF(A1366="","",4*AVERAGE($E$7:E1366))</f>
        <v/>
      </c>
      <c r="R1366" t="str">
        <f>IF(L1366="","",6*AVERAGE($Q$7:Q1366))</f>
        <v/>
      </c>
    </row>
    <row r="1367" spans="6:18" x14ac:dyDescent="0.3">
      <c r="F1367" t="str">
        <f>IF(A1367="","",4*AVERAGE($E$7:E1367))</f>
        <v/>
      </c>
      <c r="R1367" t="str">
        <f>IF(L1367="","",6*AVERAGE($Q$7:Q1367))</f>
        <v/>
      </c>
    </row>
    <row r="1368" spans="6:18" x14ac:dyDescent="0.3">
      <c r="F1368" t="str">
        <f>IF(A1368="","",4*AVERAGE($E$7:E1368))</f>
        <v/>
      </c>
      <c r="R1368" t="str">
        <f>IF(L1368="","",6*AVERAGE($Q$7:Q1368))</f>
        <v/>
      </c>
    </row>
    <row r="1369" spans="6:18" x14ac:dyDescent="0.3">
      <c r="F1369" t="str">
        <f>IF(A1369="","",4*AVERAGE($E$7:E1369))</f>
        <v/>
      </c>
      <c r="R1369" t="str">
        <f>IF(L1369="","",6*AVERAGE($Q$7:Q1369))</f>
        <v/>
      </c>
    </row>
    <row r="1370" spans="6:18" x14ac:dyDescent="0.3">
      <c r="F1370" t="str">
        <f>IF(A1370="","",4*AVERAGE($E$7:E1370))</f>
        <v/>
      </c>
      <c r="R1370" t="str">
        <f>IF(L1370="","",6*AVERAGE($Q$7:Q1370))</f>
        <v/>
      </c>
    </row>
    <row r="1371" spans="6:18" x14ac:dyDescent="0.3">
      <c r="F1371" t="str">
        <f>IF(A1371="","",4*AVERAGE($E$7:E1371))</f>
        <v/>
      </c>
      <c r="R1371" t="str">
        <f>IF(L1371="","",6*AVERAGE($Q$7:Q1371))</f>
        <v/>
      </c>
    </row>
    <row r="1372" spans="6:18" x14ac:dyDescent="0.3">
      <c r="F1372" t="str">
        <f>IF(A1372="","",4*AVERAGE($E$7:E1372))</f>
        <v/>
      </c>
      <c r="R1372" t="str">
        <f>IF(L1372="","",6*AVERAGE($Q$7:Q1372))</f>
        <v/>
      </c>
    </row>
    <row r="1373" spans="6:18" x14ac:dyDescent="0.3">
      <c r="F1373" t="str">
        <f>IF(A1373="","",4*AVERAGE($E$7:E1373))</f>
        <v/>
      </c>
      <c r="R1373" t="str">
        <f>IF(L1373="","",6*AVERAGE($Q$7:Q1373))</f>
        <v/>
      </c>
    </row>
    <row r="1374" spans="6:18" x14ac:dyDescent="0.3">
      <c r="F1374" t="str">
        <f>IF(A1374="","",4*AVERAGE($E$7:E1374))</f>
        <v/>
      </c>
      <c r="R1374" t="str">
        <f>IF(L1374="","",6*AVERAGE($Q$7:Q1374))</f>
        <v/>
      </c>
    </row>
    <row r="1375" spans="6:18" x14ac:dyDescent="0.3">
      <c r="F1375" t="str">
        <f>IF(A1375="","",4*AVERAGE($E$7:E1375))</f>
        <v/>
      </c>
      <c r="R1375" t="str">
        <f>IF(L1375="","",6*AVERAGE($Q$7:Q1375))</f>
        <v/>
      </c>
    </row>
    <row r="1376" spans="6:18" x14ac:dyDescent="0.3">
      <c r="F1376" t="str">
        <f>IF(A1376="","",4*AVERAGE($E$7:E1376))</f>
        <v/>
      </c>
      <c r="R1376" t="str">
        <f>IF(L1376="","",6*AVERAGE($Q$7:Q1376))</f>
        <v/>
      </c>
    </row>
    <row r="1377" spans="6:18" x14ac:dyDescent="0.3">
      <c r="F1377" t="str">
        <f>IF(A1377="","",4*AVERAGE($E$7:E1377))</f>
        <v/>
      </c>
      <c r="R1377" t="str">
        <f>IF(L1377="","",6*AVERAGE($Q$7:Q1377))</f>
        <v/>
      </c>
    </row>
    <row r="1378" spans="6:18" x14ac:dyDescent="0.3">
      <c r="F1378" t="str">
        <f>IF(A1378="","",4*AVERAGE($E$7:E1378))</f>
        <v/>
      </c>
      <c r="R1378" t="str">
        <f>IF(L1378="","",6*AVERAGE($Q$7:Q1378))</f>
        <v/>
      </c>
    </row>
    <row r="1379" spans="6:18" x14ac:dyDescent="0.3">
      <c r="F1379" t="str">
        <f>IF(A1379="","",4*AVERAGE($E$7:E1379))</f>
        <v/>
      </c>
      <c r="R1379" t="str">
        <f>IF(L1379="","",6*AVERAGE($Q$7:Q1379))</f>
        <v/>
      </c>
    </row>
    <row r="1380" spans="6:18" x14ac:dyDescent="0.3">
      <c r="F1380" t="str">
        <f>IF(A1380="","",4*AVERAGE($E$7:E1380))</f>
        <v/>
      </c>
      <c r="R1380" t="str">
        <f>IF(L1380="","",6*AVERAGE($Q$7:Q1380))</f>
        <v/>
      </c>
    </row>
    <row r="1381" spans="6:18" x14ac:dyDescent="0.3">
      <c r="F1381" t="str">
        <f>IF(A1381="","",4*AVERAGE($E$7:E1381))</f>
        <v/>
      </c>
      <c r="R1381" t="str">
        <f>IF(L1381="","",6*AVERAGE($Q$7:Q1381))</f>
        <v/>
      </c>
    </row>
    <row r="1382" spans="6:18" x14ac:dyDescent="0.3">
      <c r="F1382" t="str">
        <f>IF(A1382="","",4*AVERAGE($E$7:E1382))</f>
        <v/>
      </c>
      <c r="R1382" t="str">
        <f>IF(L1382="","",6*AVERAGE($Q$7:Q1382))</f>
        <v/>
      </c>
    </row>
    <row r="1383" spans="6:18" x14ac:dyDescent="0.3">
      <c r="F1383" t="str">
        <f>IF(A1383="","",4*AVERAGE($E$7:E1383))</f>
        <v/>
      </c>
      <c r="R1383" t="str">
        <f>IF(L1383="","",6*AVERAGE($Q$7:Q1383))</f>
        <v/>
      </c>
    </row>
    <row r="1384" spans="6:18" x14ac:dyDescent="0.3">
      <c r="F1384" t="str">
        <f>IF(A1384="","",4*AVERAGE($E$7:E1384))</f>
        <v/>
      </c>
      <c r="R1384" t="str">
        <f>IF(L1384="","",6*AVERAGE($Q$7:Q1384))</f>
        <v/>
      </c>
    </row>
    <row r="1385" spans="6:18" x14ac:dyDescent="0.3">
      <c r="F1385" t="str">
        <f>IF(A1385="","",4*AVERAGE($E$7:E1385))</f>
        <v/>
      </c>
      <c r="R1385" t="str">
        <f>IF(L1385="","",6*AVERAGE($Q$7:Q1385))</f>
        <v/>
      </c>
    </row>
    <row r="1386" spans="6:18" x14ac:dyDescent="0.3">
      <c r="F1386" t="str">
        <f>IF(A1386="","",4*AVERAGE($E$7:E1386))</f>
        <v/>
      </c>
      <c r="R1386" t="str">
        <f>IF(L1386="","",6*AVERAGE($Q$7:Q1386))</f>
        <v/>
      </c>
    </row>
    <row r="1387" spans="6:18" x14ac:dyDescent="0.3">
      <c r="F1387" t="str">
        <f>IF(A1387="","",4*AVERAGE($E$7:E1387))</f>
        <v/>
      </c>
      <c r="R1387" t="str">
        <f>IF(L1387="","",6*AVERAGE($Q$7:Q1387))</f>
        <v/>
      </c>
    </row>
    <row r="1388" spans="6:18" x14ac:dyDescent="0.3">
      <c r="F1388" t="str">
        <f>IF(A1388="","",4*AVERAGE($E$7:E1388))</f>
        <v/>
      </c>
      <c r="R1388" t="str">
        <f>IF(L1388="","",6*AVERAGE($Q$7:Q1388))</f>
        <v/>
      </c>
    </row>
    <row r="1389" spans="6:18" x14ac:dyDescent="0.3">
      <c r="F1389" t="str">
        <f>IF(A1389="","",4*AVERAGE($E$7:E1389))</f>
        <v/>
      </c>
      <c r="R1389" t="str">
        <f>IF(L1389="","",6*AVERAGE($Q$7:Q1389))</f>
        <v/>
      </c>
    </row>
    <row r="1390" spans="6:18" x14ac:dyDescent="0.3">
      <c r="F1390" t="str">
        <f>IF(A1390="","",4*AVERAGE($E$7:E1390))</f>
        <v/>
      </c>
      <c r="R1390" t="str">
        <f>IF(L1390="","",6*AVERAGE($Q$7:Q1390))</f>
        <v/>
      </c>
    </row>
    <row r="1391" spans="6:18" x14ac:dyDescent="0.3">
      <c r="F1391" t="str">
        <f>IF(A1391="","",4*AVERAGE($E$7:E1391))</f>
        <v/>
      </c>
      <c r="R1391" t="str">
        <f>IF(L1391="","",6*AVERAGE($Q$7:Q1391))</f>
        <v/>
      </c>
    </row>
    <row r="1392" spans="6:18" x14ac:dyDescent="0.3">
      <c r="F1392" t="str">
        <f>IF(A1392="","",4*AVERAGE($E$7:E1392))</f>
        <v/>
      </c>
      <c r="R1392" t="str">
        <f>IF(L1392="","",6*AVERAGE($Q$7:Q1392))</f>
        <v/>
      </c>
    </row>
    <row r="1393" spans="6:18" x14ac:dyDescent="0.3">
      <c r="F1393" t="str">
        <f>IF(A1393="","",4*AVERAGE($E$7:E1393))</f>
        <v/>
      </c>
      <c r="R1393" t="str">
        <f>IF(L1393="","",6*AVERAGE($Q$7:Q1393))</f>
        <v/>
      </c>
    </row>
    <row r="1394" spans="6:18" x14ac:dyDescent="0.3">
      <c r="F1394" t="str">
        <f>IF(A1394="","",4*AVERAGE($E$7:E1394))</f>
        <v/>
      </c>
      <c r="R1394" t="str">
        <f>IF(L1394="","",6*AVERAGE($Q$7:Q1394))</f>
        <v/>
      </c>
    </row>
    <row r="1395" spans="6:18" x14ac:dyDescent="0.3">
      <c r="F1395" t="str">
        <f>IF(A1395="","",4*AVERAGE($E$7:E1395))</f>
        <v/>
      </c>
      <c r="R1395" t="str">
        <f>IF(L1395="","",6*AVERAGE($Q$7:Q1395))</f>
        <v/>
      </c>
    </row>
    <row r="1396" spans="6:18" x14ac:dyDescent="0.3">
      <c r="F1396" t="str">
        <f>IF(A1396="","",4*AVERAGE($E$7:E1396))</f>
        <v/>
      </c>
      <c r="R1396" t="str">
        <f>IF(L1396="","",6*AVERAGE($Q$7:Q1396))</f>
        <v/>
      </c>
    </row>
    <row r="1397" spans="6:18" x14ac:dyDescent="0.3">
      <c r="F1397" t="str">
        <f>IF(A1397="","",4*AVERAGE($E$7:E1397))</f>
        <v/>
      </c>
      <c r="R1397" t="str">
        <f>IF(L1397="","",6*AVERAGE($Q$7:Q1397))</f>
        <v/>
      </c>
    </row>
    <row r="1398" spans="6:18" x14ac:dyDescent="0.3">
      <c r="F1398" t="str">
        <f>IF(A1398="","",4*AVERAGE($E$7:E1398))</f>
        <v/>
      </c>
      <c r="R1398" t="str">
        <f>IF(L1398="","",6*AVERAGE($Q$7:Q1398))</f>
        <v/>
      </c>
    </row>
    <row r="1399" spans="6:18" x14ac:dyDescent="0.3">
      <c r="F1399" t="str">
        <f>IF(A1399="","",4*AVERAGE($E$7:E1399))</f>
        <v/>
      </c>
      <c r="R1399" t="str">
        <f>IF(L1399="","",6*AVERAGE($Q$7:Q1399))</f>
        <v/>
      </c>
    </row>
    <row r="1400" spans="6:18" x14ac:dyDescent="0.3">
      <c r="F1400" t="str">
        <f>IF(A1400="","",4*AVERAGE($E$7:E1400))</f>
        <v/>
      </c>
      <c r="R1400" t="str">
        <f>IF(L1400="","",6*AVERAGE($Q$7:Q1400))</f>
        <v/>
      </c>
    </row>
    <row r="1401" spans="6:18" x14ac:dyDescent="0.3">
      <c r="F1401" t="str">
        <f>IF(A1401="","",4*AVERAGE($E$7:E1401))</f>
        <v/>
      </c>
      <c r="R1401" t="str">
        <f>IF(L1401="","",6*AVERAGE($Q$7:Q1401))</f>
        <v/>
      </c>
    </row>
    <row r="1402" spans="6:18" x14ac:dyDescent="0.3">
      <c r="F1402" t="str">
        <f>IF(A1402="","",4*AVERAGE($E$7:E1402))</f>
        <v/>
      </c>
      <c r="R1402" t="str">
        <f>IF(L1402="","",6*AVERAGE($Q$7:Q1402))</f>
        <v/>
      </c>
    </row>
    <row r="1403" spans="6:18" x14ac:dyDescent="0.3">
      <c r="F1403" t="str">
        <f>IF(A1403="","",4*AVERAGE($E$7:E1403))</f>
        <v/>
      </c>
      <c r="R1403" t="str">
        <f>IF(L1403="","",6*AVERAGE($Q$7:Q1403))</f>
        <v/>
      </c>
    </row>
    <row r="1404" spans="6:18" x14ac:dyDescent="0.3">
      <c r="F1404" t="str">
        <f>IF(A1404="","",4*AVERAGE($E$7:E1404))</f>
        <v/>
      </c>
      <c r="R1404" t="str">
        <f>IF(L1404="","",6*AVERAGE($Q$7:Q1404))</f>
        <v/>
      </c>
    </row>
    <row r="1405" spans="6:18" x14ac:dyDescent="0.3">
      <c r="F1405" t="str">
        <f>IF(A1405="","",4*AVERAGE($E$7:E1405))</f>
        <v/>
      </c>
      <c r="R1405" t="str">
        <f>IF(L1405="","",6*AVERAGE($Q$7:Q1405))</f>
        <v/>
      </c>
    </row>
    <row r="1406" spans="6:18" x14ac:dyDescent="0.3">
      <c r="F1406" t="str">
        <f>IF(A1406="","",4*AVERAGE($E$7:E1406))</f>
        <v/>
      </c>
      <c r="R1406" t="str">
        <f>IF(L1406="","",6*AVERAGE($Q$7:Q1406))</f>
        <v/>
      </c>
    </row>
    <row r="1407" spans="6:18" x14ac:dyDescent="0.3">
      <c r="F1407" t="str">
        <f>IF(A1407="","",4*AVERAGE($E$7:E1407))</f>
        <v/>
      </c>
      <c r="R1407" t="str">
        <f>IF(L1407="","",6*AVERAGE($Q$7:Q1407))</f>
        <v/>
      </c>
    </row>
    <row r="1408" spans="6:18" x14ac:dyDescent="0.3">
      <c r="F1408" t="str">
        <f>IF(A1408="","",4*AVERAGE($E$7:E1408))</f>
        <v/>
      </c>
      <c r="R1408" t="str">
        <f>IF(L1408="","",6*AVERAGE($Q$7:Q1408))</f>
        <v/>
      </c>
    </row>
    <row r="1409" spans="6:18" x14ac:dyDescent="0.3">
      <c r="F1409" t="str">
        <f>IF(A1409="","",4*AVERAGE($E$7:E1409))</f>
        <v/>
      </c>
      <c r="R1409" t="str">
        <f>IF(L1409="","",6*AVERAGE($Q$7:Q1409))</f>
        <v/>
      </c>
    </row>
    <row r="1410" spans="6:18" x14ac:dyDescent="0.3">
      <c r="F1410" t="str">
        <f>IF(A1410="","",4*AVERAGE($E$7:E1410))</f>
        <v/>
      </c>
      <c r="R1410" t="str">
        <f>IF(L1410="","",6*AVERAGE($Q$7:Q1410))</f>
        <v/>
      </c>
    </row>
    <row r="1411" spans="6:18" x14ac:dyDescent="0.3">
      <c r="F1411" t="str">
        <f>IF(A1411="","",4*AVERAGE($E$7:E1411))</f>
        <v/>
      </c>
      <c r="R1411" t="str">
        <f>IF(L1411="","",6*AVERAGE($Q$7:Q1411))</f>
        <v/>
      </c>
    </row>
    <row r="1412" spans="6:18" x14ac:dyDescent="0.3">
      <c r="F1412" t="str">
        <f>IF(A1412="","",4*AVERAGE($E$7:E1412))</f>
        <v/>
      </c>
      <c r="R1412" t="str">
        <f>IF(L1412="","",6*AVERAGE($Q$7:Q1412))</f>
        <v/>
      </c>
    </row>
    <row r="1413" spans="6:18" x14ac:dyDescent="0.3">
      <c r="F1413" t="str">
        <f>IF(A1413="","",4*AVERAGE($E$7:E1413))</f>
        <v/>
      </c>
      <c r="R1413" t="str">
        <f>IF(L1413="","",6*AVERAGE($Q$7:Q1413))</f>
        <v/>
      </c>
    </row>
    <row r="1414" spans="6:18" x14ac:dyDescent="0.3">
      <c r="F1414" t="str">
        <f>IF(A1414="","",4*AVERAGE($E$7:E1414))</f>
        <v/>
      </c>
      <c r="R1414" t="str">
        <f>IF(L1414="","",6*AVERAGE($Q$7:Q1414))</f>
        <v/>
      </c>
    </row>
    <row r="1415" spans="6:18" x14ac:dyDescent="0.3">
      <c r="F1415" t="str">
        <f>IF(A1415="","",4*AVERAGE($E$7:E1415))</f>
        <v/>
      </c>
      <c r="R1415" t="str">
        <f>IF(L1415="","",6*AVERAGE($Q$7:Q1415))</f>
        <v/>
      </c>
    </row>
    <row r="1416" spans="6:18" x14ac:dyDescent="0.3">
      <c r="F1416" t="str">
        <f>IF(A1416="","",4*AVERAGE($E$7:E1416))</f>
        <v/>
      </c>
      <c r="R1416" t="str">
        <f>IF(L1416="","",6*AVERAGE($Q$7:Q1416))</f>
        <v/>
      </c>
    </row>
    <row r="1417" spans="6:18" x14ac:dyDescent="0.3">
      <c r="F1417" t="str">
        <f>IF(A1417="","",4*AVERAGE($E$7:E1417))</f>
        <v/>
      </c>
      <c r="R1417" t="str">
        <f>IF(L1417="","",6*AVERAGE($Q$7:Q1417))</f>
        <v/>
      </c>
    </row>
    <row r="1418" spans="6:18" x14ac:dyDescent="0.3">
      <c r="F1418" t="str">
        <f>IF(A1418="","",4*AVERAGE($E$7:E1418))</f>
        <v/>
      </c>
      <c r="R1418" t="str">
        <f>IF(L1418="","",6*AVERAGE($Q$7:Q1418))</f>
        <v/>
      </c>
    </row>
    <row r="1419" spans="6:18" x14ac:dyDescent="0.3">
      <c r="F1419" t="str">
        <f>IF(A1419="","",4*AVERAGE($E$7:E1419))</f>
        <v/>
      </c>
      <c r="R1419" t="str">
        <f>IF(L1419="","",6*AVERAGE($Q$7:Q1419))</f>
        <v/>
      </c>
    </row>
    <row r="1420" spans="6:18" x14ac:dyDescent="0.3">
      <c r="F1420" t="str">
        <f>IF(A1420="","",4*AVERAGE($E$7:E1420))</f>
        <v/>
      </c>
      <c r="R1420" t="str">
        <f>IF(L1420="","",6*AVERAGE($Q$7:Q1420))</f>
        <v/>
      </c>
    </row>
    <row r="1421" spans="6:18" x14ac:dyDescent="0.3">
      <c r="F1421" t="str">
        <f>IF(A1421="","",4*AVERAGE($E$7:E1421))</f>
        <v/>
      </c>
      <c r="R1421" t="str">
        <f>IF(L1421="","",6*AVERAGE($Q$7:Q1421))</f>
        <v/>
      </c>
    </row>
    <row r="1422" spans="6:18" x14ac:dyDescent="0.3">
      <c r="F1422" t="str">
        <f>IF(A1422="","",4*AVERAGE($E$7:E1422))</f>
        <v/>
      </c>
      <c r="R1422" t="str">
        <f>IF(L1422="","",6*AVERAGE($Q$7:Q1422))</f>
        <v/>
      </c>
    </row>
    <row r="1423" spans="6:18" x14ac:dyDescent="0.3">
      <c r="F1423" t="str">
        <f>IF(A1423="","",4*AVERAGE($E$7:E1423))</f>
        <v/>
      </c>
      <c r="R1423" t="str">
        <f>IF(L1423="","",6*AVERAGE($Q$7:Q1423))</f>
        <v/>
      </c>
    </row>
    <row r="1424" spans="6:18" x14ac:dyDescent="0.3">
      <c r="F1424" t="str">
        <f>IF(A1424="","",4*AVERAGE($E$7:E1424))</f>
        <v/>
      </c>
      <c r="R1424" t="str">
        <f>IF(L1424="","",6*AVERAGE($Q$7:Q1424))</f>
        <v/>
      </c>
    </row>
    <row r="1425" spans="6:18" x14ac:dyDescent="0.3">
      <c r="F1425" t="str">
        <f>IF(A1425="","",4*AVERAGE($E$7:E1425))</f>
        <v/>
      </c>
      <c r="R1425" t="str">
        <f>IF(L1425="","",6*AVERAGE($Q$7:Q1425))</f>
        <v/>
      </c>
    </row>
    <row r="1426" spans="6:18" x14ac:dyDescent="0.3">
      <c r="F1426" t="str">
        <f>IF(A1426="","",4*AVERAGE($E$7:E1426))</f>
        <v/>
      </c>
      <c r="R1426" t="str">
        <f>IF(L1426="","",6*AVERAGE($Q$7:Q1426))</f>
        <v/>
      </c>
    </row>
    <row r="1427" spans="6:18" x14ac:dyDescent="0.3">
      <c r="F1427" t="str">
        <f>IF(A1427="","",4*AVERAGE($E$7:E1427))</f>
        <v/>
      </c>
      <c r="R1427" t="str">
        <f>IF(L1427="","",6*AVERAGE($Q$7:Q1427))</f>
        <v/>
      </c>
    </row>
    <row r="1428" spans="6:18" x14ac:dyDescent="0.3">
      <c r="F1428" t="str">
        <f>IF(A1428="","",4*AVERAGE($E$7:E1428))</f>
        <v/>
      </c>
      <c r="R1428" t="str">
        <f>IF(L1428="","",6*AVERAGE($Q$7:Q1428))</f>
        <v/>
      </c>
    </row>
    <row r="1429" spans="6:18" x14ac:dyDescent="0.3">
      <c r="F1429" t="str">
        <f>IF(A1429="","",4*AVERAGE($E$7:E1429))</f>
        <v/>
      </c>
      <c r="R1429" t="str">
        <f>IF(L1429="","",6*AVERAGE($Q$7:Q1429))</f>
        <v/>
      </c>
    </row>
    <row r="1430" spans="6:18" x14ac:dyDescent="0.3">
      <c r="F1430" t="str">
        <f>IF(A1430="","",4*AVERAGE($E$7:E1430))</f>
        <v/>
      </c>
      <c r="R1430" t="str">
        <f>IF(L1430="","",6*AVERAGE($Q$7:Q1430))</f>
        <v/>
      </c>
    </row>
    <row r="1431" spans="6:18" x14ac:dyDescent="0.3">
      <c r="F1431" t="str">
        <f>IF(A1431="","",4*AVERAGE($E$7:E1431))</f>
        <v/>
      </c>
      <c r="R1431" t="str">
        <f>IF(L1431="","",6*AVERAGE($Q$7:Q1431))</f>
        <v/>
      </c>
    </row>
    <row r="1432" spans="6:18" x14ac:dyDescent="0.3">
      <c r="F1432" t="str">
        <f>IF(A1432="","",4*AVERAGE($E$7:E1432))</f>
        <v/>
      </c>
      <c r="R1432" t="str">
        <f>IF(L1432="","",6*AVERAGE($Q$7:Q1432))</f>
        <v/>
      </c>
    </row>
    <row r="1433" spans="6:18" x14ac:dyDescent="0.3">
      <c r="F1433" t="str">
        <f>IF(A1433="","",4*AVERAGE($E$7:E1433))</f>
        <v/>
      </c>
      <c r="R1433" t="str">
        <f>IF(L1433="","",6*AVERAGE($Q$7:Q1433))</f>
        <v/>
      </c>
    </row>
    <row r="1434" spans="6:18" x14ac:dyDescent="0.3">
      <c r="F1434" t="str">
        <f>IF(A1434="","",4*AVERAGE($E$7:E1434))</f>
        <v/>
      </c>
      <c r="R1434" t="str">
        <f>IF(L1434="","",6*AVERAGE($Q$7:Q1434))</f>
        <v/>
      </c>
    </row>
    <row r="1435" spans="6:18" x14ac:dyDescent="0.3">
      <c r="F1435" t="str">
        <f>IF(A1435="","",4*AVERAGE($E$7:E1435))</f>
        <v/>
      </c>
      <c r="R1435" t="str">
        <f>IF(L1435="","",6*AVERAGE($Q$7:Q1435))</f>
        <v/>
      </c>
    </row>
    <row r="1436" spans="6:18" x14ac:dyDescent="0.3">
      <c r="F1436" t="str">
        <f>IF(A1436="","",4*AVERAGE($E$7:E1436))</f>
        <v/>
      </c>
      <c r="R1436" t="str">
        <f>IF(L1436="","",6*AVERAGE($Q$7:Q1436))</f>
        <v/>
      </c>
    </row>
    <row r="1437" spans="6:18" x14ac:dyDescent="0.3">
      <c r="F1437" t="str">
        <f>IF(A1437="","",4*AVERAGE($E$7:E1437))</f>
        <v/>
      </c>
      <c r="R1437" t="str">
        <f>IF(L1437="","",6*AVERAGE($Q$7:Q1437))</f>
        <v/>
      </c>
    </row>
    <row r="1438" spans="6:18" x14ac:dyDescent="0.3">
      <c r="F1438" t="str">
        <f>IF(A1438="","",4*AVERAGE($E$7:E1438))</f>
        <v/>
      </c>
      <c r="R1438" t="str">
        <f>IF(L1438="","",6*AVERAGE($Q$7:Q1438))</f>
        <v/>
      </c>
    </row>
    <row r="1439" spans="6:18" x14ac:dyDescent="0.3">
      <c r="F1439" t="str">
        <f>IF(A1439="","",4*AVERAGE($E$7:E1439))</f>
        <v/>
      </c>
      <c r="R1439" t="str">
        <f>IF(L1439="","",6*AVERAGE($Q$7:Q1439))</f>
        <v/>
      </c>
    </row>
    <row r="1440" spans="6:18" x14ac:dyDescent="0.3">
      <c r="F1440" t="str">
        <f>IF(A1440="","",4*AVERAGE($E$7:E1440))</f>
        <v/>
      </c>
      <c r="R1440" t="str">
        <f>IF(L1440="","",6*AVERAGE($Q$7:Q1440))</f>
        <v/>
      </c>
    </row>
    <row r="1441" spans="6:18" x14ac:dyDescent="0.3">
      <c r="F1441" t="str">
        <f>IF(A1441="","",4*AVERAGE($E$7:E1441))</f>
        <v/>
      </c>
      <c r="R1441" t="str">
        <f>IF(L1441="","",6*AVERAGE($Q$7:Q1441))</f>
        <v/>
      </c>
    </row>
    <row r="1442" spans="6:18" x14ac:dyDescent="0.3">
      <c r="F1442" t="str">
        <f>IF(A1442="","",4*AVERAGE($E$7:E1442))</f>
        <v/>
      </c>
      <c r="R1442" t="str">
        <f>IF(L1442="","",6*AVERAGE($Q$7:Q1442))</f>
        <v/>
      </c>
    </row>
    <row r="1443" spans="6:18" x14ac:dyDescent="0.3">
      <c r="F1443" t="str">
        <f>IF(A1443="","",4*AVERAGE($E$7:E1443))</f>
        <v/>
      </c>
      <c r="R1443" t="str">
        <f>IF(L1443="","",6*AVERAGE($Q$7:Q1443))</f>
        <v/>
      </c>
    </row>
    <row r="1444" spans="6:18" x14ac:dyDescent="0.3">
      <c r="F1444" t="str">
        <f>IF(A1444="","",4*AVERAGE($E$7:E1444))</f>
        <v/>
      </c>
      <c r="R1444" t="str">
        <f>IF(L1444="","",6*AVERAGE($Q$7:Q1444))</f>
        <v/>
      </c>
    </row>
    <row r="1445" spans="6:18" x14ac:dyDescent="0.3">
      <c r="F1445" t="str">
        <f>IF(A1445="","",4*AVERAGE($E$7:E1445))</f>
        <v/>
      </c>
      <c r="R1445" t="str">
        <f>IF(L1445="","",6*AVERAGE($Q$7:Q1445))</f>
        <v/>
      </c>
    </row>
    <row r="1446" spans="6:18" x14ac:dyDescent="0.3">
      <c r="F1446" t="str">
        <f>IF(A1446="","",4*AVERAGE($E$7:E1446))</f>
        <v/>
      </c>
      <c r="R1446" t="str">
        <f>IF(L1446="","",6*AVERAGE($Q$7:Q1446))</f>
        <v/>
      </c>
    </row>
    <row r="1447" spans="6:18" x14ac:dyDescent="0.3">
      <c r="F1447" t="str">
        <f>IF(A1447="","",4*AVERAGE($E$7:E1447))</f>
        <v/>
      </c>
      <c r="R1447" t="str">
        <f>IF(L1447="","",6*AVERAGE($Q$7:Q1447))</f>
        <v/>
      </c>
    </row>
    <row r="1448" spans="6:18" x14ac:dyDescent="0.3">
      <c r="F1448" t="str">
        <f>IF(A1448="","",4*AVERAGE($E$7:E1448))</f>
        <v/>
      </c>
      <c r="R1448" t="str">
        <f>IF(L1448="","",6*AVERAGE($Q$7:Q1448))</f>
        <v/>
      </c>
    </row>
    <row r="1449" spans="6:18" x14ac:dyDescent="0.3">
      <c r="F1449" t="str">
        <f>IF(A1449="","",4*AVERAGE($E$7:E1449))</f>
        <v/>
      </c>
      <c r="R1449" t="str">
        <f>IF(L1449="","",6*AVERAGE($Q$7:Q1449))</f>
        <v/>
      </c>
    </row>
    <row r="1450" spans="6:18" x14ac:dyDescent="0.3">
      <c r="F1450" t="str">
        <f>IF(A1450="","",4*AVERAGE($E$7:E1450))</f>
        <v/>
      </c>
      <c r="R1450" t="str">
        <f>IF(L1450="","",6*AVERAGE($Q$7:Q1450))</f>
        <v/>
      </c>
    </row>
    <row r="1451" spans="6:18" x14ac:dyDescent="0.3">
      <c r="F1451" t="str">
        <f>IF(A1451="","",4*AVERAGE($E$7:E1451))</f>
        <v/>
      </c>
      <c r="R1451" t="str">
        <f>IF(L1451="","",6*AVERAGE($Q$7:Q1451))</f>
        <v/>
      </c>
    </row>
    <row r="1452" spans="6:18" x14ac:dyDescent="0.3">
      <c r="F1452" t="str">
        <f>IF(A1452="","",4*AVERAGE($E$7:E1452))</f>
        <v/>
      </c>
      <c r="R1452" t="str">
        <f>IF(L1452="","",6*AVERAGE($Q$7:Q1452))</f>
        <v/>
      </c>
    </row>
    <row r="1453" spans="6:18" x14ac:dyDescent="0.3">
      <c r="F1453" t="str">
        <f>IF(A1453="","",4*AVERAGE($E$7:E1453))</f>
        <v/>
      </c>
      <c r="R1453" t="str">
        <f>IF(L1453="","",6*AVERAGE($Q$7:Q1453))</f>
        <v/>
      </c>
    </row>
    <row r="1454" spans="6:18" x14ac:dyDescent="0.3">
      <c r="F1454" t="str">
        <f>IF(A1454="","",4*AVERAGE($E$7:E1454))</f>
        <v/>
      </c>
      <c r="R1454" t="str">
        <f>IF(L1454="","",6*AVERAGE($Q$7:Q1454))</f>
        <v/>
      </c>
    </row>
    <row r="1455" spans="6:18" x14ac:dyDescent="0.3">
      <c r="F1455" t="str">
        <f>IF(A1455="","",4*AVERAGE($E$7:E1455))</f>
        <v/>
      </c>
      <c r="R1455" t="str">
        <f>IF(L1455="","",6*AVERAGE($Q$7:Q1455))</f>
        <v/>
      </c>
    </row>
    <row r="1456" spans="6:18" x14ac:dyDescent="0.3">
      <c r="F1456" t="str">
        <f>IF(A1456="","",4*AVERAGE($E$7:E1456))</f>
        <v/>
      </c>
      <c r="R1456" t="str">
        <f>IF(L1456="","",6*AVERAGE($Q$7:Q1456))</f>
        <v/>
      </c>
    </row>
    <row r="1457" spans="6:18" x14ac:dyDescent="0.3">
      <c r="F1457" t="str">
        <f>IF(A1457="","",4*AVERAGE($E$7:E1457))</f>
        <v/>
      </c>
      <c r="R1457" t="str">
        <f>IF(L1457="","",6*AVERAGE($Q$7:Q1457))</f>
        <v/>
      </c>
    </row>
    <row r="1458" spans="6:18" x14ac:dyDescent="0.3">
      <c r="F1458" t="str">
        <f>IF(A1458="","",4*AVERAGE($E$7:E1458))</f>
        <v/>
      </c>
      <c r="R1458" t="str">
        <f>IF(L1458="","",6*AVERAGE($Q$7:Q1458))</f>
        <v/>
      </c>
    </row>
    <row r="1459" spans="6:18" x14ac:dyDescent="0.3">
      <c r="F1459" t="str">
        <f>IF(A1459="","",4*AVERAGE($E$7:E1459))</f>
        <v/>
      </c>
      <c r="R1459" t="str">
        <f>IF(L1459="","",6*AVERAGE($Q$7:Q1459))</f>
        <v/>
      </c>
    </row>
    <row r="1460" spans="6:18" x14ac:dyDescent="0.3">
      <c r="F1460" t="str">
        <f>IF(A1460="","",4*AVERAGE($E$7:E1460))</f>
        <v/>
      </c>
      <c r="R1460" t="str">
        <f>IF(L1460="","",6*AVERAGE($Q$7:Q1460))</f>
        <v/>
      </c>
    </row>
    <row r="1461" spans="6:18" x14ac:dyDescent="0.3">
      <c r="F1461" t="str">
        <f>IF(A1461="","",4*AVERAGE($E$7:E1461))</f>
        <v/>
      </c>
      <c r="R1461" t="str">
        <f>IF(L1461="","",6*AVERAGE($Q$7:Q1461))</f>
        <v/>
      </c>
    </row>
    <row r="1462" spans="6:18" x14ac:dyDescent="0.3">
      <c r="F1462" t="str">
        <f>IF(A1462="","",4*AVERAGE($E$7:E1462))</f>
        <v/>
      </c>
      <c r="R1462" t="str">
        <f>IF(L1462="","",6*AVERAGE($Q$7:Q1462))</f>
        <v/>
      </c>
    </row>
    <row r="1463" spans="6:18" x14ac:dyDescent="0.3">
      <c r="F1463" t="str">
        <f>IF(A1463="","",4*AVERAGE($E$7:E1463))</f>
        <v/>
      </c>
      <c r="R1463" t="str">
        <f>IF(L1463="","",6*AVERAGE($Q$7:Q1463))</f>
        <v/>
      </c>
    </row>
    <row r="1464" spans="6:18" x14ac:dyDescent="0.3">
      <c r="F1464" t="str">
        <f>IF(A1464="","",4*AVERAGE($E$7:E1464))</f>
        <v/>
      </c>
      <c r="R1464" t="str">
        <f>IF(L1464="","",6*AVERAGE($Q$7:Q1464))</f>
        <v/>
      </c>
    </row>
    <row r="1465" spans="6:18" x14ac:dyDescent="0.3">
      <c r="F1465" t="str">
        <f>IF(A1465="","",4*AVERAGE($E$7:E1465))</f>
        <v/>
      </c>
      <c r="R1465" t="str">
        <f>IF(L1465="","",6*AVERAGE($Q$7:Q1465))</f>
        <v/>
      </c>
    </row>
    <row r="1466" spans="6:18" x14ac:dyDescent="0.3">
      <c r="F1466" t="str">
        <f>IF(A1466="","",4*AVERAGE($E$7:E1466))</f>
        <v/>
      </c>
      <c r="R1466" t="str">
        <f>IF(L1466="","",6*AVERAGE($Q$7:Q1466))</f>
        <v/>
      </c>
    </row>
    <row r="1467" spans="6:18" x14ac:dyDescent="0.3">
      <c r="F1467" t="str">
        <f>IF(A1467="","",4*AVERAGE($E$7:E1467))</f>
        <v/>
      </c>
      <c r="R1467" t="str">
        <f>IF(L1467="","",6*AVERAGE($Q$7:Q1467))</f>
        <v/>
      </c>
    </row>
    <row r="1468" spans="6:18" x14ac:dyDescent="0.3">
      <c r="F1468" t="str">
        <f>IF(A1468="","",4*AVERAGE($E$7:E1468))</f>
        <v/>
      </c>
      <c r="R1468" t="str">
        <f>IF(L1468="","",6*AVERAGE($Q$7:Q1468))</f>
        <v/>
      </c>
    </row>
    <row r="1469" spans="6:18" x14ac:dyDescent="0.3">
      <c r="F1469" t="str">
        <f>IF(A1469="","",4*AVERAGE($E$7:E1469))</f>
        <v/>
      </c>
      <c r="R1469" t="str">
        <f>IF(L1469="","",6*AVERAGE($Q$7:Q1469))</f>
        <v/>
      </c>
    </row>
    <row r="1470" spans="6:18" x14ac:dyDescent="0.3">
      <c r="F1470" t="str">
        <f>IF(A1470="","",4*AVERAGE($E$7:E1470))</f>
        <v/>
      </c>
      <c r="R1470" t="str">
        <f>IF(L1470="","",6*AVERAGE($Q$7:Q1470))</f>
        <v/>
      </c>
    </row>
    <row r="1471" spans="6:18" x14ac:dyDescent="0.3">
      <c r="F1471" t="str">
        <f>IF(A1471="","",4*AVERAGE($E$7:E1471))</f>
        <v/>
      </c>
      <c r="R1471" t="str">
        <f>IF(L1471="","",6*AVERAGE($Q$7:Q1471))</f>
        <v/>
      </c>
    </row>
    <row r="1472" spans="6:18" x14ac:dyDescent="0.3">
      <c r="F1472" t="str">
        <f>IF(A1472="","",4*AVERAGE($E$7:E1472))</f>
        <v/>
      </c>
      <c r="R1472" t="str">
        <f>IF(L1472="","",6*AVERAGE($Q$7:Q1472))</f>
        <v/>
      </c>
    </row>
    <row r="1473" spans="6:18" x14ac:dyDescent="0.3">
      <c r="F1473" t="str">
        <f>IF(A1473="","",4*AVERAGE($E$7:E1473))</f>
        <v/>
      </c>
      <c r="R1473" t="str">
        <f>IF(L1473="","",6*AVERAGE($Q$7:Q1473))</f>
        <v/>
      </c>
    </row>
    <row r="1474" spans="6:18" x14ac:dyDescent="0.3">
      <c r="F1474" t="str">
        <f>IF(A1474="","",4*AVERAGE($E$7:E1474))</f>
        <v/>
      </c>
      <c r="R1474" t="str">
        <f>IF(L1474="","",6*AVERAGE($Q$7:Q1474))</f>
        <v/>
      </c>
    </row>
    <row r="1475" spans="6:18" x14ac:dyDescent="0.3">
      <c r="F1475" t="str">
        <f>IF(A1475="","",4*AVERAGE($E$7:E1475))</f>
        <v/>
      </c>
      <c r="R1475" t="str">
        <f>IF(L1475="","",6*AVERAGE($Q$7:Q1475))</f>
        <v/>
      </c>
    </row>
    <row r="1476" spans="6:18" x14ac:dyDescent="0.3">
      <c r="F1476" t="str">
        <f>IF(A1476="","",4*AVERAGE($E$7:E1476))</f>
        <v/>
      </c>
      <c r="R1476" t="str">
        <f>IF(L1476="","",6*AVERAGE($Q$7:Q1476))</f>
        <v/>
      </c>
    </row>
    <row r="1477" spans="6:18" x14ac:dyDescent="0.3">
      <c r="F1477" t="str">
        <f>IF(A1477="","",4*AVERAGE($E$7:E1477))</f>
        <v/>
      </c>
      <c r="R1477" t="str">
        <f>IF(L1477="","",6*AVERAGE($Q$7:Q1477))</f>
        <v/>
      </c>
    </row>
    <row r="1478" spans="6:18" x14ac:dyDescent="0.3">
      <c r="F1478" t="str">
        <f>IF(A1478="","",4*AVERAGE($E$7:E1478))</f>
        <v/>
      </c>
      <c r="R1478" t="str">
        <f>IF(L1478="","",6*AVERAGE($Q$7:Q1478))</f>
        <v/>
      </c>
    </row>
    <row r="1479" spans="6:18" x14ac:dyDescent="0.3">
      <c r="F1479" t="str">
        <f>IF(A1479="","",4*AVERAGE($E$7:E1479))</f>
        <v/>
      </c>
      <c r="R1479" t="str">
        <f>IF(L1479="","",6*AVERAGE($Q$7:Q1479))</f>
        <v/>
      </c>
    </row>
    <row r="1480" spans="6:18" x14ac:dyDescent="0.3">
      <c r="F1480" t="str">
        <f>IF(A1480="","",4*AVERAGE($E$7:E1480))</f>
        <v/>
      </c>
      <c r="R1480" t="str">
        <f>IF(L1480="","",6*AVERAGE($Q$7:Q1480))</f>
        <v/>
      </c>
    </row>
    <row r="1481" spans="6:18" x14ac:dyDescent="0.3">
      <c r="F1481" t="str">
        <f>IF(A1481="","",4*AVERAGE($E$7:E1481))</f>
        <v/>
      </c>
      <c r="R1481" t="str">
        <f>IF(L1481="","",6*AVERAGE($Q$7:Q1481))</f>
        <v/>
      </c>
    </row>
    <row r="1482" spans="6:18" x14ac:dyDescent="0.3">
      <c r="F1482" t="str">
        <f>IF(A1482="","",4*AVERAGE($E$7:E1482))</f>
        <v/>
      </c>
      <c r="R1482" t="str">
        <f>IF(L1482="","",6*AVERAGE($Q$7:Q1482))</f>
        <v/>
      </c>
    </row>
    <row r="1483" spans="6:18" x14ac:dyDescent="0.3">
      <c r="F1483" t="str">
        <f>IF(A1483="","",4*AVERAGE($E$7:E1483))</f>
        <v/>
      </c>
      <c r="R1483" t="str">
        <f>IF(L1483="","",6*AVERAGE($Q$7:Q1483))</f>
        <v/>
      </c>
    </row>
    <row r="1484" spans="6:18" x14ac:dyDescent="0.3">
      <c r="F1484" t="str">
        <f>IF(A1484="","",4*AVERAGE($E$7:E1484))</f>
        <v/>
      </c>
      <c r="R1484" t="str">
        <f>IF(L1484="","",6*AVERAGE($Q$7:Q1484))</f>
        <v/>
      </c>
    </row>
    <row r="1485" spans="6:18" x14ac:dyDescent="0.3">
      <c r="F1485" t="str">
        <f>IF(A1485="","",4*AVERAGE($E$7:E1485))</f>
        <v/>
      </c>
      <c r="R1485" t="str">
        <f>IF(L1485="","",6*AVERAGE($Q$7:Q1485))</f>
        <v/>
      </c>
    </row>
    <row r="1486" spans="6:18" x14ac:dyDescent="0.3">
      <c r="F1486" t="str">
        <f>IF(A1486="","",4*AVERAGE($E$7:E1486))</f>
        <v/>
      </c>
      <c r="R1486" t="str">
        <f>IF(L1486="","",6*AVERAGE($Q$7:Q1486))</f>
        <v/>
      </c>
    </row>
    <row r="1487" spans="6:18" x14ac:dyDescent="0.3">
      <c r="F1487" t="str">
        <f>IF(A1487="","",4*AVERAGE($E$7:E1487))</f>
        <v/>
      </c>
      <c r="R1487" t="str">
        <f>IF(L1487="","",6*AVERAGE($Q$7:Q1487))</f>
        <v/>
      </c>
    </row>
    <row r="1488" spans="6:18" x14ac:dyDescent="0.3">
      <c r="F1488" t="str">
        <f>IF(A1488="","",4*AVERAGE($E$7:E1488))</f>
        <v/>
      </c>
      <c r="R1488" t="str">
        <f>IF(L1488="","",6*AVERAGE($Q$7:Q1488))</f>
        <v/>
      </c>
    </row>
    <row r="1489" spans="6:18" x14ac:dyDescent="0.3">
      <c r="F1489" t="str">
        <f>IF(A1489="","",4*AVERAGE($E$7:E1489))</f>
        <v/>
      </c>
      <c r="R1489" t="str">
        <f>IF(L1489="","",6*AVERAGE($Q$7:Q1489))</f>
        <v/>
      </c>
    </row>
    <row r="1490" spans="6:18" x14ac:dyDescent="0.3">
      <c r="F1490" t="str">
        <f>IF(A1490="","",4*AVERAGE($E$7:E1490))</f>
        <v/>
      </c>
      <c r="R1490" t="str">
        <f>IF(L1490="","",6*AVERAGE($Q$7:Q1490))</f>
        <v/>
      </c>
    </row>
    <row r="1491" spans="6:18" x14ac:dyDescent="0.3">
      <c r="F1491" t="str">
        <f>IF(A1491="","",4*AVERAGE($E$7:E1491))</f>
        <v/>
      </c>
      <c r="R1491" t="str">
        <f>IF(L1491="","",6*AVERAGE($Q$7:Q1491))</f>
        <v/>
      </c>
    </row>
    <row r="1492" spans="6:18" x14ac:dyDescent="0.3">
      <c r="F1492" t="str">
        <f>IF(A1492="","",4*AVERAGE($E$7:E1492))</f>
        <v/>
      </c>
      <c r="R1492" t="str">
        <f>IF(L1492="","",6*AVERAGE($Q$7:Q1492))</f>
        <v/>
      </c>
    </row>
    <row r="1493" spans="6:18" x14ac:dyDescent="0.3">
      <c r="F1493" t="str">
        <f>IF(A1493="","",4*AVERAGE($E$7:E1493))</f>
        <v/>
      </c>
      <c r="R1493" t="str">
        <f>IF(L1493="","",6*AVERAGE($Q$7:Q1493))</f>
        <v/>
      </c>
    </row>
    <row r="1494" spans="6:18" x14ac:dyDescent="0.3">
      <c r="F1494" t="str">
        <f>IF(A1494="","",4*AVERAGE($E$7:E1494))</f>
        <v/>
      </c>
      <c r="R1494" t="str">
        <f>IF(L1494="","",6*AVERAGE($Q$7:Q1494))</f>
        <v/>
      </c>
    </row>
    <row r="1495" spans="6:18" x14ac:dyDescent="0.3">
      <c r="F1495" t="str">
        <f>IF(A1495="","",4*AVERAGE($E$7:E1495))</f>
        <v/>
      </c>
      <c r="R1495" t="str">
        <f>IF(L1495="","",6*AVERAGE($Q$7:Q1495))</f>
        <v/>
      </c>
    </row>
    <row r="1496" spans="6:18" x14ac:dyDescent="0.3">
      <c r="F1496" t="str">
        <f>IF(A1496="","",4*AVERAGE($E$7:E1496))</f>
        <v/>
      </c>
      <c r="R1496" t="str">
        <f>IF(L1496="","",6*AVERAGE($Q$7:Q1496))</f>
        <v/>
      </c>
    </row>
    <row r="1497" spans="6:18" x14ac:dyDescent="0.3">
      <c r="F1497" t="str">
        <f>IF(A1497="","",4*AVERAGE($E$7:E1497))</f>
        <v/>
      </c>
      <c r="R1497" t="str">
        <f>IF(L1497="","",6*AVERAGE($Q$7:Q1497))</f>
        <v/>
      </c>
    </row>
    <row r="1498" spans="6:18" x14ac:dyDescent="0.3">
      <c r="F1498" t="str">
        <f>IF(A1498="","",4*AVERAGE($E$7:E1498))</f>
        <v/>
      </c>
      <c r="R1498" t="str">
        <f>IF(L1498="","",6*AVERAGE($Q$7:Q1498))</f>
        <v/>
      </c>
    </row>
    <row r="1499" spans="6:18" x14ac:dyDescent="0.3">
      <c r="F1499" t="str">
        <f>IF(A1499="","",4*AVERAGE($E$7:E1499))</f>
        <v/>
      </c>
      <c r="R1499" t="str">
        <f>IF(L1499="","",6*AVERAGE($Q$7:Q1499))</f>
        <v/>
      </c>
    </row>
    <row r="1500" spans="6:18" x14ac:dyDescent="0.3">
      <c r="F1500" t="str">
        <f>IF(A1500="","",4*AVERAGE($E$7:E1500))</f>
        <v/>
      </c>
      <c r="R1500" t="str">
        <f>IF(L1500="","",6*AVERAGE($Q$7:Q1500))</f>
        <v/>
      </c>
    </row>
    <row r="1501" spans="6:18" x14ac:dyDescent="0.3">
      <c r="F1501" t="str">
        <f>IF(A1501="","",4*AVERAGE($E$7:E1501))</f>
        <v/>
      </c>
      <c r="R1501" t="str">
        <f>IF(L1501="","",6*AVERAGE($Q$7:Q1501))</f>
        <v/>
      </c>
    </row>
    <row r="1502" spans="6:18" x14ac:dyDescent="0.3">
      <c r="F1502" t="str">
        <f>IF(A1502="","",4*AVERAGE($E$7:E1502))</f>
        <v/>
      </c>
      <c r="R1502" t="str">
        <f>IF(L1502="","",6*AVERAGE($Q$7:Q1502))</f>
        <v/>
      </c>
    </row>
    <row r="1503" spans="6:18" x14ac:dyDescent="0.3">
      <c r="F1503" t="str">
        <f>IF(A1503="","",4*AVERAGE($E$7:E1503))</f>
        <v/>
      </c>
      <c r="R1503" t="str">
        <f>IF(L1503="","",6*AVERAGE($Q$7:Q1503))</f>
        <v/>
      </c>
    </row>
    <row r="1504" spans="6:18" x14ac:dyDescent="0.3">
      <c r="F1504" t="str">
        <f>IF(A1504="","",4*AVERAGE($E$7:E1504))</f>
        <v/>
      </c>
      <c r="R1504" t="str">
        <f>IF(L1504="","",6*AVERAGE($Q$7:Q1504))</f>
        <v/>
      </c>
    </row>
    <row r="1505" spans="6:18" x14ac:dyDescent="0.3">
      <c r="F1505" t="str">
        <f>IF(A1505="","",4*AVERAGE($E$7:E1505))</f>
        <v/>
      </c>
      <c r="R1505" t="str">
        <f>IF(L1505="","",6*AVERAGE($Q$7:Q1505))</f>
        <v/>
      </c>
    </row>
    <row r="1506" spans="6:18" x14ac:dyDescent="0.3">
      <c r="F1506" t="str">
        <f>IF(A1506="","",4*AVERAGE($E$7:E1506))</f>
        <v/>
      </c>
      <c r="R1506" t="str">
        <f>IF(L1506="","",6*AVERAGE($Q$7:Q1506))</f>
        <v/>
      </c>
    </row>
    <row r="1507" spans="6:18" x14ac:dyDescent="0.3">
      <c r="F1507" t="str">
        <f>IF(A1507="","",4*AVERAGE($E$7:E1507))</f>
        <v/>
      </c>
      <c r="R1507" t="str">
        <f>IF(L1507="","",6*AVERAGE($Q$7:Q1507))</f>
        <v/>
      </c>
    </row>
    <row r="1508" spans="6:18" x14ac:dyDescent="0.3">
      <c r="F1508" t="str">
        <f>IF(A1508="","",4*AVERAGE($E$7:E1508))</f>
        <v/>
      </c>
      <c r="R1508" t="str">
        <f>IF(L1508="","",6*AVERAGE($Q$7:Q1508))</f>
        <v/>
      </c>
    </row>
    <row r="1509" spans="6:18" x14ac:dyDescent="0.3">
      <c r="F1509" t="str">
        <f>IF(A1509="","",4*AVERAGE($E$7:E1509))</f>
        <v/>
      </c>
      <c r="R1509" t="str">
        <f>IF(L1509="","",6*AVERAGE($Q$7:Q1509))</f>
        <v/>
      </c>
    </row>
    <row r="1510" spans="6:18" x14ac:dyDescent="0.3">
      <c r="F1510" t="str">
        <f>IF(A1510="","",4*AVERAGE($E$7:E1510))</f>
        <v/>
      </c>
      <c r="R1510" t="str">
        <f>IF(L1510="","",6*AVERAGE($Q$7:Q1510))</f>
        <v/>
      </c>
    </row>
    <row r="1511" spans="6:18" x14ac:dyDescent="0.3">
      <c r="F1511" t="str">
        <f>IF(A1511="","",4*AVERAGE($E$7:E1511))</f>
        <v/>
      </c>
      <c r="R1511" t="str">
        <f>IF(L1511="","",6*AVERAGE($Q$7:Q1511))</f>
        <v/>
      </c>
    </row>
    <row r="1512" spans="6:18" x14ac:dyDescent="0.3">
      <c r="F1512" t="str">
        <f>IF(A1512="","",4*AVERAGE($E$7:E1512))</f>
        <v/>
      </c>
      <c r="R1512" t="str">
        <f>IF(L1512="","",6*AVERAGE($Q$7:Q1512))</f>
        <v/>
      </c>
    </row>
    <row r="1513" spans="6:18" x14ac:dyDescent="0.3">
      <c r="F1513" t="str">
        <f>IF(A1513="","",4*AVERAGE($E$7:E1513))</f>
        <v/>
      </c>
      <c r="R1513" t="str">
        <f>IF(L1513="","",6*AVERAGE($Q$7:Q1513))</f>
        <v/>
      </c>
    </row>
    <row r="1514" spans="6:18" x14ac:dyDescent="0.3">
      <c r="F1514" t="str">
        <f>IF(A1514="","",4*AVERAGE($E$7:E1514))</f>
        <v/>
      </c>
      <c r="R1514" t="str">
        <f>IF(L1514="","",6*AVERAGE($Q$7:Q1514))</f>
        <v/>
      </c>
    </row>
    <row r="1515" spans="6:18" x14ac:dyDescent="0.3">
      <c r="F1515" t="str">
        <f>IF(A1515="","",4*AVERAGE($E$7:E1515))</f>
        <v/>
      </c>
      <c r="R1515" t="str">
        <f>IF(L1515="","",6*AVERAGE($Q$7:Q1515))</f>
        <v/>
      </c>
    </row>
    <row r="1516" spans="6:18" x14ac:dyDescent="0.3">
      <c r="F1516" t="str">
        <f>IF(A1516="","",4*AVERAGE($E$7:E1516))</f>
        <v/>
      </c>
      <c r="R1516" t="str">
        <f>IF(L1516="","",6*AVERAGE($Q$7:Q1516))</f>
        <v/>
      </c>
    </row>
    <row r="1517" spans="6:18" x14ac:dyDescent="0.3">
      <c r="F1517" t="str">
        <f>IF(A1517="","",4*AVERAGE($E$7:E1517))</f>
        <v/>
      </c>
      <c r="R1517" t="str">
        <f>IF(L1517="","",6*AVERAGE($Q$7:Q1517))</f>
        <v/>
      </c>
    </row>
    <row r="1518" spans="6:18" x14ac:dyDescent="0.3">
      <c r="F1518" t="str">
        <f>IF(A1518="","",4*AVERAGE($E$7:E1518))</f>
        <v/>
      </c>
      <c r="R1518" t="str">
        <f>IF(L1518="","",6*AVERAGE($Q$7:Q1518))</f>
        <v/>
      </c>
    </row>
    <row r="1519" spans="6:18" x14ac:dyDescent="0.3">
      <c r="F1519" t="str">
        <f>IF(A1519="","",4*AVERAGE($E$7:E1519))</f>
        <v/>
      </c>
      <c r="R1519" t="str">
        <f>IF(L1519="","",6*AVERAGE($Q$7:Q1519))</f>
        <v/>
      </c>
    </row>
    <row r="1520" spans="6:18" x14ac:dyDescent="0.3">
      <c r="F1520" t="str">
        <f>IF(A1520="","",4*AVERAGE($E$7:E1520))</f>
        <v/>
      </c>
      <c r="R1520" t="str">
        <f>IF(L1520="","",6*AVERAGE($Q$7:Q1520))</f>
        <v/>
      </c>
    </row>
    <row r="1521" spans="6:18" x14ac:dyDescent="0.3">
      <c r="F1521" t="str">
        <f>IF(A1521="","",4*AVERAGE($E$7:E1521))</f>
        <v/>
      </c>
      <c r="R1521" t="str">
        <f>IF(L1521="","",6*AVERAGE($Q$7:Q1521))</f>
        <v/>
      </c>
    </row>
    <row r="1522" spans="6:18" x14ac:dyDescent="0.3">
      <c r="F1522" t="str">
        <f>IF(A1522="","",4*AVERAGE($E$7:E1522))</f>
        <v/>
      </c>
      <c r="R1522" t="str">
        <f>IF(L1522="","",6*AVERAGE($Q$7:Q1522))</f>
        <v/>
      </c>
    </row>
    <row r="1523" spans="6:18" x14ac:dyDescent="0.3">
      <c r="F1523" t="str">
        <f>IF(A1523="","",4*AVERAGE($E$7:E1523))</f>
        <v/>
      </c>
      <c r="R1523" t="str">
        <f>IF(L1523="","",6*AVERAGE($Q$7:Q1523))</f>
        <v/>
      </c>
    </row>
    <row r="1524" spans="6:18" x14ac:dyDescent="0.3">
      <c r="F1524" t="str">
        <f>IF(A1524="","",4*AVERAGE($E$7:E1524))</f>
        <v/>
      </c>
      <c r="R1524" t="str">
        <f>IF(L1524="","",6*AVERAGE($Q$7:Q1524))</f>
        <v/>
      </c>
    </row>
    <row r="1525" spans="6:18" x14ac:dyDescent="0.3">
      <c r="F1525" t="str">
        <f>IF(A1525="","",4*AVERAGE($E$7:E1525))</f>
        <v/>
      </c>
      <c r="R1525" t="str">
        <f>IF(L1525="","",6*AVERAGE($Q$7:Q1525))</f>
        <v/>
      </c>
    </row>
    <row r="1526" spans="6:18" x14ac:dyDescent="0.3">
      <c r="F1526" t="str">
        <f>IF(A1526="","",4*AVERAGE($E$7:E1526))</f>
        <v/>
      </c>
      <c r="R1526" t="str">
        <f>IF(L1526="","",6*AVERAGE($Q$7:Q1526))</f>
        <v/>
      </c>
    </row>
    <row r="1527" spans="6:18" x14ac:dyDescent="0.3">
      <c r="F1527" t="str">
        <f>IF(A1527="","",4*AVERAGE($E$7:E1527))</f>
        <v/>
      </c>
      <c r="R1527" t="str">
        <f>IF(L1527="","",6*AVERAGE($Q$7:Q1527))</f>
        <v/>
      </c>
    </row>
    <row r="1528" spans="6:18" x14ac:dyDescent="0.3">
      <c r="F1528" t="str">
        <f>IF(A1528="","",4*AVERAGE($E$7:E1528))</f>
        <v/>
      </c>
      <c r="R1528" t="str">
        <f>IF(L1528="","",6*AVERAGE($Q$7:Q1528))</f>
        <v/>
      </c>
    </row>
    <row r="1529" spans="6:18" x14ac:dyDescent="0.3">
      <c r="F1529" t="str">
        <f>IF(A1529="","",4*AVERAGE($E$7:E1529))</f>
        <v/>
      </c>
      <c r="R1529" t="str">
        <f>IF(L1529="","",6*AVERAGE($Q$7:Q1529))</f>
        <v/>
      </c>
    </row>
    <row r="1530" spans="6:18" x14ac:dyDescent="0.3">
      <c r="F1530" t="str">
        <f>IF(A1530="","",4*AVERAGE($E$7:E1530))</f>
        <v/>
      </c>
      <c r="R1530" t="str">
        <f>IF(L1530="","",6*AVERAGE($Q$7:Q1530))</f>
        <v/>
      </c>
    </row>
    <row r="1531" spans="6:18" x14ac:dyDescent="0.3">
      <c r="F1531" t="str">
        <f>IF(A1531="","",4*AVERAGE($E$7:E1531))</f>
        <v/>
      </c>
      <c r="R1531" t="str">
        <f>IF(L1531="","",6*AVERAGE($Q$7:Q1531))</f>
        <v/>
      </c>
    </row>
    <row r="1532" spans="6:18" x14ac:dyDescent="0.3">
      <c r="F1532" t="str">
        <f>IF(A1532="","",4*AVERAGE($E$7:E1532))</f>
        <v/>
      </c>
      <c r="R1532" t="str">
        <f>IF(L1532="","",6*AVERAGE($Q$7:Q1532))</f>
        <v/>
      </c>
    </row>
    <row r="1533" spans="6:18" x14ac:dyDescent="0.3">
      <c r="F1533" t="str">
        <f>IF(A1533="","",4*AVERAGE($E$7:E1533))</f>
        <v/>
      </c>
      <c r="R1533" t="str">
        <f>IF(L1533="","",6*AVERAGE($Q$7:Q1533))</f>
        <v/>
      </c>
    </row>
    <row r="1534" spans="6:18" x14ac:dyDescent="0.3">
      <c r="F1534" t="str">
        <f>IF(A1534="","",4*AVERAGE($E$7:E1534))</f>
        <v/>
      </c>
      <c r="R1534" t="str">
        <f>IF(L1534="","",6*AVERAGE($Q$7:Q1534))</f>
        <v/>
      </c>
    </row>
    <row r="1535" spans="6:18" x14ac:dyDescent="0.3">
      <c r="F1535" t="str">
        <f>IF(A1535="","",4*AVERAGE($E$7:E1535))</f>
        <v/>
      </c>
      <c r="R1535" t="str">
        <f>IF(L1535="","",6*AVERAGE($Q$7:Q1535))</f>
        <v/>
      </c>
    </row>
    <row r="1536" spans="6:18" x14ac:dyDescent="0.3">
      <c r="F1536" t="str">
        <f>IF(A1536="","",4*AVERAGE($E$7:E1536))</f>
        <v/>
      </c>
      <c r="R1536" t="str">
        <f>IF(L1536="","",6*AVERAGE($Q$7:Q1536))</f>
        <v/>
      </c>
    </row>
    <row r="1537" spans="6:18" x14ac:dyDescent="0.3">
      <c r="F1537" t="str">
        <f>IF(A1537="","",4*AVERAGE($E$7:E1537))</f>
        <v/>
      </c>
      <c r="R1537" t="str">
        <f>IF(L1537="","",6*AVERAGE($Q$7:Q1537))</f>
        <v/>
      </c>
    </row>
    <row r="1538" spans="6:18" x14ac:dyDescent="0.3">
      <c r="F1538" t="str">
        <f>IF(A1538="","",4*AVERAGE($E$7:E1538))</f>
        <v/>
      </c>
      <c r="R1538" t="str">
        <f>IF(L1538="","",6*AVERAGE($Q$7:Q1538))</f>
        <v/>
      </c>
    </row>
    <row r="1539" spans="6:18" x14ac:dyDescent="0.3">
      <c r="F1539" t="str">
        <f>IF(A1539="","",4*AVERAGE($E$7:E1539))</f>
        <v/>
      </c>
      <c r="R1539" t="str">
        <f>IF(L1539="","",6*AVERAGE($Q$7:Q1539))</f>
        <v/>
      </c>
    </row>
    <row r="1540" spans="6:18" x14ac:dyDescent="0.3">
      <c r="F1540" t="str">
        <f>IF(A1540="","",4*AVERAGE($E$7:E1540))</f>
        <v/>
      </c>
      <c r="R1540" t="str">
        <f>IF(L1540="","",6*AVERAGE($Q$7:Q1540))</f>
        <v/>
      </c>
    </row>
    <row r="1541" spans="6:18" x14ac:dyDescent="0.3">
      <c r="F1541" t="str">
        <f>IF(A1541="","",4*AVERAGE($E$7:E1541))</f>
        <v/>
      </c>
      <c r="R1541" t="str">
        <f>IF(L1541="","",6*AVERAGE($Q$7:Q1541))</f>
        <v/>
      </c>
    </row>
    <row r="1542" spans="6:18" x14ac:dyDescent="0.3">
      <c r="F1542" t="str">
        <f>IF(A1542="","",4*AVERAGE($E$7:E1542))</f>
        <v/>
      </c>
      <c r="R1542" t="str">
        <f>IF(L1542="","",6*AVERAGE($Q$7:Q1542))</f>
        <v/>
      </c>
    </row>
    <row r="1543" spans="6:18" x14ac:dyDescent="0.3">
      <c r="F1543" t="str">
        <f>IF(A1543="","",4*AVERAGE($E$7:E1543))</f>
        <v/>
      </c>
      <c r="R1543" t="str">
        <f>IF(L1543="","",6*AVERAGE($Q$7:Q1543))</f>
        <v/>
      </c>
    </row>
    <row r="1544" spans="6:18" x14ac:dyDescent="0.3">
      <c r="F1544" t="str">
        <f>IF(A1544="","",4*AVERAGE($E$7:E1544))</f>
        <v/>
      </c>
      <c r="R1544" t="str">
        <f>IF(L1544="","",6*AVERAGE($Q$7:Q1544))</f>
        <v/>
      </c>
    </row>
    <row r="1545" spans="6:18" x14ac:dyDescent="0.3">
      <c r="F1545" t="str">
        <f>IF(A1545="","",4*AVERAGE($E$7:E1545))</f>
        <v/>
      </c>
      <c r="R1545" t="str">
        <f>IF(L1545="","",6*AVERAGE($Q$7:Q1545))</f>
        <v/>
      </c>
    </row>
    <row r="1546" spans="6:18" x14ac:dyDescent="0.3">
      <c r="F1546" t="str">
        <f>IF(A1546="","",4*AVERAGE($E$7:E1546))</f>
        <v/>
      </c>
      <c r="R1546" t="str">
        <f>IF(L1546="","",6*AVERAGE($Q$7:Q1546))</f>
        <v/>
      </c>
    </row>
    <row r="1547" spans="6:18" x14ac:dyDescent="0.3">
      <c r="F1547" t="str">
        <f>IF(A1547="","",4*AVERAGE($E$7:E1547))</f>
        <v/>
      </c>
      <c r="R1547" t="str">
        <f>IF(L1547="","",6*AVERAGE($Q$7:Q1547))</f>
        <v/>
      </c>
    </row>
    <row r="1548" spans="6:18" x14ac:dyDescent="0.3">
      <c r="F1548" t="str">
        <f>IF(A1548="","",4*AVERAGE($E$7:E1548))</f>
        <v/>
      </c>
      <c r="R1548" t="str">
        <f>IF(L1548="","",6*AVERAGE($Q$7:Q1548))</f>
        <v/>
      </c>
    </row>
    <row r="1549" spans="6:18" x14ac:dyDescent="0.3">
      <c r="F1549" t="str">
        <f>IF(A1549="","",4*AVERAGE($E$7:E1549))</f>
        <v/>
      </c>
      <c r="R1549" t="str">
        <f>IF(L1549="","",6*AVERAGE($Q$7:Q1549))</f>
        <v/>
      </c>
    </row>
    <row r="1550" spans="6:18" x14ac:dyDescent="0.3">
      <c r="F1550" t="str">
        <f>IF(A1550="","",4*AVERAGE($E$7:E1550))</f>
        <v/>
      </c>
      <c r="R1550" t="str">
        <f>IF(L1550="","",6*AVERAGE($Q$7:Q1550))</f>
        <v/>
      </c>
    </row>
    <row r="1551" spans="6:18" x14ac:dyDescent="0.3">
      <c r="F1551" t="str">
        <f>IF(A1551="","",4*AVERAGE($E$7:E1551))</f>
        <v/>
      </c>
      <c r="R1551" t="str">
        <f>IF(L1551="","",6*AVERAGE($Q$7:Q1551))</f>
        <v/>
      </c>
    </row>
    <row r="1552" spans="6:18" x14ac:dyDescent="0.3">
      <c r="F1552" t="str">
        <f>IF(A1552="","",4*AVERAGE($E$7:E1552))</f>
        <v/>
      </c>
      <c r="R1552" t="str">
        <f>IF(L1552="","",6*AVERAGE($Q$7:Q1552))</f>
        <v/>
      </c>
    </row>
    <row r="1553" spans="6:18" x14ac:dyDescent="0.3">
      <c r="F1553" t="str">
        <f>IF(A1553="","",4*AVERAGE($E$7:E1553))</f>
        <v/>
      </c>
      <c r="R1553" t="str">
        <f>IF(L1553="","",6*AVERAGE($Q$7:Q1553))</f>
        <v/>
      </c>
    </row>
    <row r="1554" spans="6:18" x14ac:dyDescent="0.3">
      <c r="F1554" t="str">
        <f>IF(A1554="","",4*AVERAGE($E$7:E1554))</f>
        <v/>
      </c>
      <c r="R1554" t="str">
        <f>IF(L1554="","",6*AVERAGE($Q$7:Q1554))</f>
        <v/>
      </c>
    </row>
    <row r="1555" spans="6:18" x14ac:dyDescent="0.3">
      <c r="F1555" t="str">
        <f>IF(A1555="","",4*AVERAGE($E$7:E1555))</f>
        <v/>
      </c>
      <c r="R1555" t="str">
        <f>IF(L1555="","",6*AVERAGE($Q$7:Q1555))</f>
        <v/>
      </c>
    </row>
    <row r="1556" spans="6:18" x14ac:dyDescent="0.3">
      <c r="F1556" t="str">
        <f>IF(A1556="","",4*AVERAGE($E$7:E1556))</f>
        <v/>
      </c>
      <c r="R1556" t="str">
        <f>IF(L1556="","",6*AVERAGE($Q$7:Q1556))</f>
        <v/>
      </c>
    </row>
    <row r="1557" spans="6:18" x14ac:dyDescent="0.3">
      <c r="F1557" t="str">
        <f>IF(A1557="","",4*AVERAGE($E$7:E1557))</f>
        <v/>
      </c>
      <c r="R1557" t="str">
        <f>IF(L1557="","",6*AVERAGE($Q$7:Q1557))</f>
        <v/>
      </c>
    </row>
    <row r="1558" spans="6:18" x14ac:dyDescent="0.3">
      <c r="F1558" t="str">
        <f>IF(A1558="","",4*AVERAGE($E$7:E1558))</f>
        <v/>
      </c>
      <c r="R1558" t="str">
        <f>IF(L1558="","",6*AVERAGE($Q$7:Q1558))</f>
        <v/>
      </c>
    </row>
    <row r="1559" spans="6:18" x14ac:dyDescent="0.3">
      <c r="F1559" t="str">
        <f>IF(A1559="","",4*AVERAGE($E$7:E1559))</f>
        <v/>
      </c>
      <c r="R1559" t="str">
        <f>IF(L1559="","",6*AVERAGE($Q$7:Q1559))</f>
        <v/>
      </c>
    </row>
    <row r="1560" spans="6:18" x14ac:dyDescent="0.3">
      <c r="F1560" t="str">
        <f>IF(A1560="","",4*AVERAGE($E$7:E1560))</f>
        <v/>
      </c>
      <c r="R1560" t="str">
        <f>IF(L1560="","",6*AVERAGE($Q$7:Q1560))</f>
        <v/>
      </c>
    </row>
    <row r="1561" spans="6:18" x14ac:dyDescent="0.3">
      <c r="F1561" t="str">
        <f>IF(A1561="","",4*AVERAGE($E$7:E1561))</f>
        <v/>
      </c>
      <c r="R1561" t="str">
        <f>IF(L1561="","",6*AVERAGE($Q$7:Q1561))</f>
        <v/>
      </c>
    </row>
    <row r="1562" spans="6:18" x14ac:dyDescent="0.3">
      <c r="F1562" t="str">
        <f>IF(A1562="","",4*AVERAGE($E$7:E1562))</f>
        <v/>
      </c>
      <c r="R1562" t="str">
        <f>IF(L1562="","",6*AVERAGE($Q$7:Q1562))</f>
        <v/>
      </c>
    </row>
    <row r="1563" spans="6:18" x14ac:dyDescent="0.3">
      <c r="F1563" t="str">
        <f>IF(A1563="","",4*AVERAGE($E$7:E1563))</f>
        <v/>
      </c>
      <c r="R1563" t="str">
        <f>IF(L1563="","",6*AVERAGE($Q$7:Q1563))</f>
        <v/>
      </c>
    </row>
    <row r="1564" spans="6:18" x14ac:dyDescent="0.3">
      <c r="F1564" t="str">
        <f>IF(A1564="","",4*AVERAGE($E$7:E1564))</f>
        <v/>
      </c>
      <c r="R1564" t="str">
        <f>IF(L1564="","",6*AVERAGE($Q$7:Q1564))</f>
        <v/>
      </c>
    </row>
    <row r="1565" spans="6:18" x14ac:dyDescent="0.3">
      <c r="F1565" t="str">
        <f>IF(A1565="","",4*AVERAGE($E$7:E1565))</f>
        <v/>
      </c>
      <c r="R1565" t="str">
        <f>IF(L1565="","",6*AVERAGE($Q$7:Q1565))</f>
        <v/>
      </c>
    </row>
    <row r="1566" spans="6:18" x14ac:dyDescent="0.3">
      <c r="F1566" t="str">
        <f>IF(A1566="","",4*AVERAGE($E$7:E1566))</f>
        <v/>
      </c>
      <c r="R1566" t="str">
        <f>IF(L1566="","",6*AVERAGE($Q$7:Q1566))</f>
        <v/>
      </c>
    </row>
    <row r="1567" spans="6:18" x14ac:dyDescent="0.3">
      <c r="F1567" t="str">
        <f>IF(A1567="","",4*AVERAGE($E$7:E1567))</f>
        <v/>
      </c>
      <c r="R1567" t="str">
        <f>IF(L1567="","",6*AVERAGE($Q$7:Q1567))</f>
        <v/>
      </c>
    </row>
    <row r="1568" spans="6:18" x14ac:dyDescent="0.3">
      <c r="F1568" t="str">
        <f>IF(A1568="","",4*AVERAGE($E$7:E1568))</f>
        <v/>
      </c>
      <c r="R1568" t="str">
        <f>IF(L1568="","",6*AVERAGE($Q$7:Q1568))</f>
        <v/>
      </c>
    </row>
    <row r="1569" spans="6:18" x14ac:dyDescent="0.3">
      <c r="F1569" t="str">
        <f>IF(A1569="","",4*AVERAGE($E$7:E1569))</f>
        <v/>
      </c>
      <c r="R1569" t="str">
        <f>IF(L1569="","",6*AVERAGE($Q$7:Q1569))</f>
        <v/>
      </c>
    </row>
    <row r="1570" spans="6:18" x14ac:dyDescent="0.3">
      <c r="F1570" t="str">
        <f>IF(A1570="","",4*AVERAGE($E$7:E1570))</f>
        <v/>
      </c>
      <c r="R1570" t="str">
        <f>IF(L1570="","",6*AVERAGE($Q$7:Q1570))</f>
        <v/>
      </c>
    </row>
    <row r="1571" spans="6:18" x14ac:dyDescent="0.3">
      <c r="F1571" t="str">
        <f>IF(A1571="","",4*AVERAGE($E$7:E1571))</f>
        <v/>
      </c>
      <c r="R1571" t="str">
        <f>IF(L1571="","",6*AVERAGE($Q$7:Q1571))</f>
        <v/>
      </c>
    </row>
    <row r="1572" spans="6:18" x14ac:dyDescent="0.3">
      <c r="F1572" t="str">
        <f>IF(A1572="","",4*AVERAGE($E$7:E1572))</f>
        <v/>
      </c>
      <c r="R1572" t="str">
        <f>IF(L1572="","",6*AVERAGE($Q$7:Q1572))</f>
        <v/>
      </c>
    </row>
    <row r="1573" spans="6:18" x14ac:dyDescent="0.3">
      <c r="F1573" t="str">
        <f>IF(A1573="","",4*AVERAGE($E$7:E1573))</f>
        <v/>
      </c>
      <c r="R1573" t="str">
        <f>IF(L1573="","",6*AVERAGE($Q$7:Q1573))</f>
        <v/>
      </c>
    </row>
    <row r="1574" spans="6:18" x14ac:dyDescent="0.3">
      <c r="F1574" t="str">
        <f>IF(A1574="","",4*AVERAGE($E$7:E1574))</f>
        <v/>
      </c>
      <c r="R1574" t="str">
        <f>IF(L1574="","",6*AVERAGE($Q$7:Q1574))</f>
        <v/>
      </c>
    </row>
    <row r="1575" spans="6:18" x14ac:dyDescent="0.3">
      <c r="F1575" t="str">
        <f>IF(A1575="","",4*AVERAGE($E$7:E1575))</f>
        <v/>
      </c>
      <c r="R1575" t="str">
        <f>IF(L1575="","",6*AVERAGE($Q$7:Q1575))</f>
        <v/>
      </c>
    </row>
    <row r="1576" spans="6:18" x14ac:dyDescent="0.3">
      <c r="F1576" t="str">
        <f>IF(A1576="","",4*AVERAGE($E$7:E1576))</f>
        <v/>
      </c>
      <c r="R1576" t="str">
        <f>IF(L1576="","",6*AVERAGE($Q$7:Q1576))</f>
        <v/>
      </c>
    </row>
    <row r="1577" spans="6:18" x14ac:dyDescent="0.3">
      <c r="F1577" t="str">
        <f>IF(A1577="","",4*AVERAGE($E$7:E1577))</f>
        <v/>
      </c>
      <c r="R1577" t="str">
        <f>IF(L1577="","",6*AVERAGE($Q$7:Q1577))</f>
        <v/>
      </c>
    </row>
    <row r="1578" spans="6:18" x14ac:dyDescent="0.3">
      <c r="F1578" t="str">
        <f>IF(A1578="","",4*AVERAGE($E$7:E1578))</f>
        <v/>
      </c>
      <c r="R1578" t="str">
        <f>IF(L1578="","",6*AVERAGE($Q$7:Q1578))</f>
        <v/>
      </c>
    </row>
    <row r="1579" spans="6:18" x14ac:dyDescent="0.3">
      <c r="F1579" t="str">
        <f>IF(A1579="","",4*AVERAGE($E$7:E1579))</f>
        <v/>
      </c>
      <c r="R1579" t="str">
        <f>IF(L1579="","",6*AVERAGE($Q$7:Q1579))</f>
        <v/>
      </c>
    </row>
    <row r="1580" spans="6:18" x14ac:dyDescent="0.3">
      <c r="F1580" t="str">
        <f>IF(A1580="","",4*AVERAGE($E$7:E1580))</f>
        <v/>
      </c>
      <c r="R1580" t="str">
        <f>IF(L1580="","",6*AVERAGE($Q$7:Q1580))</f>
        <v/>
      </c>
    </row>
    <row r="1581" spans="6:18" x14ac:dyDescent="0.3">
      <c r="F1581" t="str">
        <f>IF(A1581="","",4*AVERAGE($E$7:E1581))</f>
        <v/>
      </c>
      <c r="R1581" t="str">
        <f>IF(L1581="","",6*AVERAGE($Q$7:Q1581))</f>
        <v/>
      </c>
    </row>
    <row r="1582" spans="6:18" x14ac:dyDescent="0.3">
      <c r="F1582" t="str">
        <f>IF(A1582="","",4*AVERAGE($E$7:E1582))</f>
        <v/>
      </c>
      <c r="R1582" t="str">
        <f>IF(L1582="","",6*AVERAGE($Q$7:Q1582))</f>
        <v/>
      </c>
    </row>
    <row r="1583" spans="6:18" x14ac:dyDescent="0.3">
      <c r="F1583" t="str">
        <f>IF(A1583="","",4*AVERAGE($E$7:E1583))</f>
        <v/>
      </c>
      <c r="R1583" t="str">
        <f>IF(L1583="","",6*AVERAGE($Q$7:Q1583))</f>
        <v/>
      </c>
    </row>
    <row r="1584" spans="6:18" x14ac:dyDescent="0.3">
      <c r="F1584" t="str">
        <f>IF(A1584="","",4*AVERAGE($E$7:E1584))</f>
        <v/>
      </c>
      <c r="R1584" t="str">
        <f>IF(L1584="","",6*AVERAGE($Q$7:Q1584))</f>
        <v/>
      </c>
    </row>
    <row r="1585" spans="6:18" x14ac:dyDescent="0.3">
      <c r="F1585" t="str">
        <f>IF(A1585="","",4*AVERAGE($E$7:E1585))</f>
        <v/>
      </c>
      <c r="R1585" t="str">
        <f>IF(L1585="","",6*AVERAGE($Q$7:Q1585))</f>
        <v/>
      </c>
    </row>
    <row r="1586" spans="6:18" x14ac:dyDescent="0.3">
      <c r="F1586" t="str">
        <f>IF(A1586="","",4*AVERAGE($E$7:E1586))</f>
        <v/>
      </c>
      <c r="R1586" t="str">
        <f>IF(L1586="","",6*AVERAGE($Q$7:Q1586))</f>
        <v/>
      </c>
    </row>
    <row r="1587" spans="6:18" x14ac:dyDescent="0.3">
      <c r="F1587" t="str">
        <f>IF(A1587="","",4*AVERAGE($E$7:E1587))</f>
        <v/>
      </c>
      <c r="R1587" t="str">
        <f>IF(L1587="","",6*AVERAGE($Q$7:Q1587))</f>
        <v/>
      </c>
    </row>
    <row r="1588" spans="6:18" x14ac:dyDescent="0.3">
      <c r="F1588" t="str">
        <f>IF(A1588="","",4*AVERAGE($E$7:E1588))</f>
        <v/>
      </c>
      <c r="R1588" t="str">
        <f>IF(L1588="","",6*AVERAGE($Q$7:Q1588))</f>
        <v/>
      </c>
    </row>
    <row r="1589" spans="6:18" x14ac:dyDescent="0.3">
      <c r="F1589" t="str">
        <f>IF(A1589="","",4*AVERAGE($E$7:E1589))</f>
        <v/>
      </c>
      <c r="R1589" t="str">
        <f>IF(L1589="","",6*AVERAGE($Q$7:Q1589))</f>
        <v/>
      </c>
    </row>
    <row r="1590" spans="6:18" x14ac:dyDescent="0.3">
      <c r="F1590" t="str">
        <f>IF(A1590="","",4*AVERAGE($E$7:E1590))</f>
        <v/>
      </c>
      <c r="R1590" t="str">
        <f>IF(L1590="","",6*AVERAGE($Q$7:Q1590))</f>
        <v/>
      </c>
    </row>
    <row r="1591" spans="6:18" x14ac:dyDescent="0.3">
      <c r="F1591" t="str">
        <f>IF(A1591="","",4*AVERAGE($E$7:E1591))</f>
        <v/>
      </c>
      <c r="R1591" t="str">
        <f>IF(L1591="","",6*AVERAGE($Q$7:Q1591))</f>
        <v/>
      </c>
    </row>
    <row r="1592" spans="6:18" x14ac:dyDescent="0.3">
      <c r="F1592" t="str">
        <f>IF(A1592="","",4*AVERAGE($E$7:E1592))</f>
        <v/>
      </c>
      <c r="R1592" t="str">
        <f>IF(L1592="","",6*AVERAGE($Q$7:Q1592))</f>
        <v/>
      </c>
    </row>
    <row r="1593" spans="6:18" x14ac:dyDescent="0.3">
      <c r="F1593" t="str">
        <f>IF(A1593="","",4*AVERAGE($E$7:E1593))</f>
        <v/>
      </c>
      <c r="R1593" t="str">
        <f>IF(L1593="","",6*AVERAGE($Q$7:Q1593))</f>
        <v/>
      </c>
    </row>
    <row r="1594" spans="6:18" x14ac:dyDescent="0.3">
      <c r="F1594" t="str">
        <f>IF(A1594="","",4*AVERAGE($E$7:E1594))</f>
        <v/>
      </c>
      <c r="R1594" t="str">
        <f>IF(L1594="","",6*AVERAGE($Q$7:Q1594))</f>
        <v/>
      </c>
    </row>
    <row r="1595" spans="6:18" x14ac:dyDescent="0.3">
      <c r="F1595" t="str">
        <f>IF(A1595="","",4*AVERAGE($E$7:E1595))</f>
        <v/>
      </c>
      <c r="R1595" t="str">
        <f>IF(L1595="","",6*AVERAGE($Q$7:Q1595))</f>
        <v/>
      </c>
    </row>
    <row r="1596" spans="6:18" x14ac:dyDescent="0.3">
      <c r="F1596" t="str">
        <f>IF(A1596="","",4*AVERAGE($E$7:E1596))</f>
        <v/>
      </c>
      <c r="R1596" t="str">
        <f>IF(L1596="","",6*AVERAGE($Q$7:Q1596))</f>
        <v/>
      </c>
    </row>
    <row r="1597" spans="6:18" x14ac:dyDescent="0.3">
      <c r="F1597" t="str">
        <f>IF(A1597="","",4*AVERAGE($E$7:E1597))</f>
        <v/>
      </c>
      <c r="R1597" t="str">
        <f>IF(L1597="","",6*AVERAGE($Q$7:Q1597))</f>
        <v/>
      </c>
    </row>
    <row r="1598" spans="6:18" x14ac:dyDescent="0.3">
      <c r="F1598" t="str">
        <f>IF(A1598="","",4*AVERAGE($E$7:E1598))</f>
        <v/>
      </c>
      <c r="R1598" t="str">
        <f>IF(L1598="","",6*AVERAGE($Q$7:Q1598))</f>
        <v/>
      </c>
    </row>
    <row r="1599" spans="6:18" x14ac:dyDescent="0.3">
      <c r="F1599" t="str">
        <f>IF(A1599="","",4*AVERAGE($E$7:E1599))</f>
        <v/>
      </c>
      <c r="R1599" t="str">
        <f>IF(L1599="","",6*AVERAGE($Q$7:Q1599))</f>
        <v/>
      </c>
    </row>
    <row r="1600" spans="6:18" x14ac:dyDescent="0.3">
      <c r="F1600" t="str">
        <f>IF(A1600="","",4*AVERAGE($E$7:E1600))</f>
        <v/>
      </c>
      <c r="R1600" t="str">
        <f>IF(L1600="","",6*AVERAGE($Q$7:Q1600))</f>
        <v/>
      </c>
    </row>
    <row r="1601" spans="6:18" x14ac:dyDescent="0.3">
      <c r="F1601" t="str">
        <f>IF(A1601="","",4*AVERAGE($E$7:E1601))</f>
        <v/>
      </c>
      <c r="R1601" t="str">
        <f>IF(L1601="","",6*AVERAGE($Q$7:Q1601))</f>
        <v/>
      </c>
    </row>
    <row r="1602" spans="6:18" x14ac:dyDescent="0.3">
      <c r="F1602" t="str">
        <f>IF(A1602="","",4*AVERAGE($E$7:E1602))</f>
        <v/>
      </c>
      <c r="R1602" t="str">
        <f>IF(L1602="","",6*AVERAGE($Q$7:Q1602))</f>
        <v/>
      </c>
    </row>
    <row r="1603" spans="6:18" x14ac:dyDescent="0.3">
      <c r="F1603" t="str">
        <f>IF(A1603="","",4*AVERAGE($E$7:E1603))</f>
        <v/>
      </c>
      <c r="R1603" t="str">
        <f>IF(L1603="","",6*AVERAGE($Q$7:Q1603))</f>
        <v/>
      </c>
    </row>
    <row r="1604" spans="6:18" x14ac:dyDescent="0.3">
      <c r="F1604" t="str">
        <f>IF(A1604="","",4*AVERAGE($E$7:E1604))</f>
        <v/>
      </c>
      <c r="R1604" t="str">
        <f>IF(L1604="","",6*AVERAGE($Q$7:Q1604))</f>
        <v/>
      </c>
    </row>
    <row r="1605" spans="6:18" x14ac:dyDescent="0.3">
      <c r="F1605" t="str">
        <f>IF(A1605="","",4*AVERAGE($E$7:E1605))</f>
        <v/>
      </c>
      <c r="R1605" t="str">
        <f>IF(L1605="","",6*AVERAGE($Q$7:Q1605))</f>
        <v/>
      </c>
    </row>
    <row r="1606" spans="6:18" x14ac:dyDescent="0.3">
      <c r="F1606" t="str">
        <f>IF(A1606="","",4*AVERAGE($E$7:E1606))</f>
        <v/>
      </c>
      <c r="R1606" t="str">
        <f>IF(L1606="","",6*AVERAGE($Q$7:Q1606))</f>
        <v/>
      </c>
    </row>
    <row r="1607" spans="6:18" x14ac:dyDescent="0.3">
      <c r="F1607" t="str">
        <f>IF(A1607="","",4*AVERAGE($E$7:E1607))</f>
        <v/>
      </c>
      <c r="R1607" t="str">
        <f>IF(L1607="","",6*AVERAGE($Q$7:Q1607))</f>
        <v/>
      </c>
    </row>
    <row r="1608" spans="6:18" x14ac:dyDescent="0.3">
      <c r="F1608" t="str">
        <f>IF(A1608="","",4*AVERAGE($E$7:E1608))</f>
        <v/>
      </c>
      <c r="R1608" t="str">
        <f>IF(L1608="","",6*AVERAGE($Q$7:Q1608))</f>
        <v/>
      </c>
    </row>
    <row r="1609" spans="6:18" x14ac:dyDescent="0.3">
      <c r="F1609" t="str">
        <f>IF(A1609="","",4*AVERAGE($E$7:E1609))</f>
        <v/>
      </c>
      <c r="R1609" t="str">
        <f>IF(L1609="","",6*AVERAGE($Q$7:Q1609))</f>
        <v/>
      </c>
    </row>
    <row r="1610" spans="6:18" x14ac:dyDescent="0.3">
      <c r="F1610" t="str">
        <f>IF(A1610="","",4*AVERAGE($E$7:E1610))</f>
        <v/>
      </c>
      <c r="R1610" t="str">
        <f>IF(L1610="","",6*AVERAGE($Q$7:Q1610))</f>
        <v/>
      </c>
    </row>
    <row r="1611" spans="6:18" x14ac:dyDescent="0.3">
      <c r="F1611" t="str">
        <f>IF(A1611="","",4*AVERAGE($E$7:E1611))</f>
        <v/>
      </c>
      <c r="R1611" t="str">
        <f>IF(L1611="","",6*AVERAGE($Q$7:Q1611))</f>
        <v/>
      </c>
    </row>
    <row r="1612" spans="6:18" x14ac:dyDescent="0.3">
      <c r="F1612" t="str">
        <f>IF(A1612="","",4*AVERAGE($E$7:E1612))</f>
        <v/>
      </c>
      <c r="R1612" t="str">
        <f>IF(L1612="","",6*AVERAGE($Q$7:Q1612))</f>
        <v/>
      </c>
    </row>
    <row r="1613" spans="6:18" x14ac:dyDescent="0.3">
      <c r="F1613" t="str">
        <f>IF(A1613="","",4*AVERAGE($E$7:E1613))</f>
        <v/>
      </c>
      <c r="R1613" t="str">
        <f>IF(L1613="","",6*AVERAGE($Q$7:Q1613))</f>
        <v/>
      </c>
    </row>
    <row r="1614" spans="6:18" x14ac:dyDescent="0.3">
      <c r="F1614" t="str">
        <f>IF(A1614="","",4*AVERAGE($E$7:E1614))</f>
        <v/>
      </c>
      <c r="R1614" t="str">
        <f>IF(L1614="","",6*AVERAGE($Q$7:Q1614))</f>
        <v/>
      </c>
    </row>
    <row r="1615" spans="6:18" x14ac:dyDescent="0.3">
      <c r="F1615" t="str">
        <f>IF(A1615="","",4*AVERAGE($E$7:E1615))</f>
        <v/>
      </c>
      <c r="R1615" t="str">
        <f>IF(L1615="","",6*AVERAGE($Q$7:Q1615))</f>
        <v/>
      </c>
    </row>
    <row r="1616" spans="6:18" x14ac:dyDescent="0.3">
      <c r="F1616" t="str">
        <f>IF(A1616="","",4*AVERAGE($E$7:E1616))</f>
        <v/>
      </c>
      <c r="R1616" t="str">
        <f>IF(L1616="","",6*AVERAGE($Q$7:Q1616))</f>
        <v/>
      </c>
    </row>
    <row r="1617" spans="6:18" x14ac:dyDescent="0.3">
      <c r="F1617" t="str">
        <f>IF(A1617="","",4*AVERAGE($E$7:E1617))</f>
        <v/>
      </c>
      <c r="R1617" t="str">
        <f>IF(L1617="","",6*AVERAGE($Q$7:Q1617))</f>
        <v/>
      </c>
    </row>
    <row r="1618" spans="6:18" x14ac:dyDescent="0.3">
      <c r="F1618" t="str">
        <f>IF(A1618="","",4*AVERAGE($E$7:E1618))</f>
        <v/>
      </c>
      <c r="R1618" t="str">
        <f>IF(L1618="","",6*AVERAGE($Q$7:Q1618))</f>
        <v/>
      </c>
    </row>
    <row r="1619" spans="6:18" x14ac:dyDescent="0.3">
      <c r="F1619" t="str">
        <f>IF(A1619="","",4*AVERAGE($E$7:E1619))</f>
        <v/>
      </c>
      <c r="R1619" t="str">
        <f>IF(L1619="","",6*AVERAGE($Q$7:Q1619))</f>
        <v/>
      </c>
    </row>
    <row r="1620" spans="6:18" x14ac:dyDescent="0.3">
      <c r="F1620" t="str">
        <f>IF(A1620="","",4*AVERAGE($E$7:E1620))</f>
        <v/>
      </c>
      <c r="R1620" t="str">
        <f>IF(L1620="","",6*AVERAGE($Q$7:Q1620))</f>
        <v/>
      </c>
    </row>
    <row r="1621" spans="6:18" x14ac:dyDescent="0.3">
      <c r="F1621" t="str">
        <f>IF(A1621="","",4*AVERAGE($E$7:E1621))</f>
        <v/>
      </c>
      <c r="R1621" t="str">
        <f>IF(L1621="","",6*AVERAGE($Q$7:Q1621))</f>
        <v/>
      </c>
    </row>
    <row r="1622" spans="6:18" x14ac:dyDescent="0.3">
      <c r="F1622" t="str">
        <f>IF(A1622="","",4*AVERAGE($E$7:E1622))</f>
        <v/>
      </c>
      <c r="R1622" t="str">
        <f>IF(L1622="","",6*AVERAGE($Q$7:Q1622))</f>
        <v/>
      </c>
    </row>
    <row r="1623" spans="6:18" x14ac:dyDescent="0.3">
      <c r="F1623" t="str">
        <f>IF(A1623="","",4*AVERAGE($E$7:E1623))</f>
        <v/>
      </c>
      <c r="R1623" t="str">
        <f>IF(L1623="","",6*AVERAGE($Q$7:Q1623))</f>
        <v/>
      </c>
    </row>
    <row r="1624" spans="6:18" x14ac:dyDescent="0.3">
      <c r="F1624" t="str">
        <f>IF(A1624="","",4*AVERAGE($E$7:E1624))</f>
        <v/>
      </c>
      <c r="R1624" t="str">
        <f>IF(L1624="","",6*AVERAGE($Q$7:Q1624))</f>
        <v/>
      </c>
    </row>
    <row r="1625" spans="6:18" x14ac:dyDescent="0.3">
      <c r="F1625" t="str">
        <f>IF(A1625="","",4*AVERAGE($E$7:E1625))</f>
        <v/>
      </c>
      <c r="R1625" t="str">
        <f>IF(L1625="","",6*AVERAGE($Q$7:Q1625))</f>
        <v/>
      </c>
    </row>
    <row r="1626" spans="6:18" x14ac:dyDescent="0.3">
      <c r="F1626" t="str">
        <f>IF(A1626="","",4*AVERAGE($E$7:E1626))</f>
        <v/>
      </c>
      <c r="R1626" t="str">
        <f>IF(L1626="","",6*AVERAGE($Q$7:Q1626))</f>
        <v/>
      </c>
    </row>
    <row r="1627" spans="6:18" x14ac:dyDescent="0.3">
      <c r="F1627" t="str">
        <f>IF(A1627="","",4*AVERAGE($E$7:E1627))</f>
        <v/>
      </c>
      <c r="R1627" t="str">
        <f>IF(L1627="","",6*AVERAGE($Q$7:Q1627))</f>
        <v/>
      </c>
    </row>
    <row r="1628" spans="6:18" x14ac:dyDescent="0.3">
      <c r="F1628" t="str">
        <f>IF(A1628="","",4*AVERAGE($E$7:E1628))</f>
        <v/>
      </c>
      <c r="R1628" t="str">
        <f>IF(L1628="","",6*AVERAGE($Q$7:Q1628))</f>
        <v/>
      </c>
    </row>
    <row r="1629" spans="6:18" x14ac:dyDescent="0.3">
      <c r="F1629" t="str">
        <f>IF(A1629="","",4*AVERAGE($E$7:E1629))</f>
        <v/>
      </c>
      <c r="R1629" t="str">
        <f>IF(L1629="","",6*AVERAGE($Q$7:Q1629))</f>
        <v/>
      </c>
    </row>
    <row r="1630" spans="6:18" x14ac:dyDescent="0.3">
      <c r="F1630" t="str">
        <f>IF(A1630="","",4*AVERAGE($E$7:E1630))</f>
        <v/>
      </c>
      <c r="R1630" t="str">
        <f>IF(L1630="","",6*AVERAGE($Q$7:Q1630))</f>
        <v/>
      </c>
    </row>
    <row r="1631" spans="6:18" x14ac:dyDescent="0.3">
      <c r="F1631" t="str">
        <f>IF(A1631="","",4*AVERAGE($E$7:E1631))</f>
        <v/>
      </c>
      <c r="R1631" t="str">
        <f>IF(L1631="","",6*AVERAGE($Q$7:Q1631))</f>
        <v/>
      </c>
    </row>
    <row r="1632" spans="6:18" x14ac:dyDescent="0.3">
      <c r="F1632" t="str">
        <f>IF(A1632="","",4*AVERAGE($E$7:E1632))</f>
        <v/>
      </c>
      <c r="R1632" t="str">
        <f>IF(L1632="","",6*AVERAGE($Q$7:Q1632))</f>
        <v/>
      </c>
    </row>
    <row r="1633" spans="6:18" x14ac:dyDescent="0.3">
      <c r="F1633" t="str">
        <f>IF(A1633="","",4*AVERAGE($E$7:E1633))</f>
        <v/>
      </c>
      <c r="R1633" t="str">
        <f>IF(L1633="","",6*AVERAGE($Q$7:Q1633))</f>
        <v/>
      </c>
    </row>
    <row r="1634" spans="6:18" x14ac:dyDescent="0.3">
      <c r="F1634" t="str">
        <f>IF(A1634="","",4*AVERAGE($E$7:E1634))</f>
        <v/>
      </c>
      <c r="R1634" t="str">
        <f>IF(L1634="","",6*AVERAGE($Q$7:Q1634))</f>
        <v/>
      </c>
    </row>
    <row r="1635" spans="6:18" x14ac:dyDescent="0.3">
      <c r="F1635" t="str">
        <f>IF(A1635="","",4*AVERAGE($E$7:E1635))</f>
        <v/>
      </c>
      <c r="R1635" t="str">
        <f>IF(L1635="","",6*AVERAGE($Q$7:Q1635))</f>
        <v/>
      </c>
    </row>
    <row r="1636" spans="6:18" x14ac:dyDescent="0.3">
      <c r="F1636" t="str">
        <f>IF(A1636="","",4*AVERAGE($E$7:E1636))</f>
        <v/>
      </c>
      <c r="R1636" t="str">
        <f>IF(L1636="","",6*AVERAGE($Q$7:Q1636))</f>
        <v/>
      </c>
    </row>
    <row r="1637" spans="6:18" x14ac:dyDescent="0.3">
      <c r="F1637" t="str">
        <f>IF(A1637="","",4*AVERAGE($E$7:E1637))</f>
        <v/>
      </c>
      <c r="R1637" t="str">
        <f>IF(L1637="","",6*AVERAGE($Q$7:Q1637))</f>
        <v/>
      </c>
    </row>
    <row r="1638" spans="6:18" x14ac:dyDescent="0.3">
      <c r="F1638" t="str">
        <f>IF(A1638="","",4*AVERAGE($E$7:E1638))</f>
        <v/>
      </c>
      <c r="R1638" t="str">
        <f>IF(L1638="","",6*AVERAGE($Q$7:Q1638))</f>
        <v/>
      </c>
    </row>
    <row r="1639" spans="6:18" x14ac:dyDescent="0.3">
      <c r="F1639" t="str">
        <f>IF(A1639="","",4*AVERAGE($E$7:E1639))</f>
        <v/>
      </c>
      <c r="R1639" t="str">
        <f>IF(L1639="","",6*AVERAGE($Q$7:Q1639))</f>
        <v/>
      </c>
    </row>
    <row r="1640" spans="6:18" x14ac:dyDescent="0.3">
      <c r="F1640" t="str">
        <f>IF(A1640="","",4*AVERAGE($E$7:E1640))</f>
        <v/>
      </c>
      <c r="R1640" t="str">
        <f>IF(L1640="","",6*AVERAGE($Q$7:Q1640))</f>
        <v/>
      </c>
    </row>
    <row r="1641" spans="6:18" x14ac:dyDescent="0.3">
      <c r="F1641" t="str">
        <f>IF(A1641="","",4*AVERAGE($E$7:E1641))</f>
        <v/>
      </c>
      <c r="R1641" t="str">
        <f>IF(L1641="","",6*AVERAGE($Q$7:Q1641))</f>
        <v/>
      </c>
    </row>
    <row r="1642" spans="6:18" x14ac:dyDescent="0.3">
      <c r="F1642" t="str">
        <f>IF(A1642="","",4*AVERAGE($E$7:E1642))</f>
        <v/>
      </c>
      <c r="R1642" t="str">
        <f>IF(L1642="","",6*AVERAGE($Q$7:Q1642))</f>
        <v/>
      </c>
    </row>
    <row r="1643" spans="6:18" x14ac:dyDescent="0.3">
      <c r="F1643" t="str">
        <f>IF(A1643="","",4*AVERAGE($E$7:E1643))</f>
        <v/>
      </c>
      <c r="R1643" t="str">
        <f>IF(L1643="","",6*AVERAGE($Q$7:Q1643))</f>
        <v/>
      </c>
    </row>
    <row r="1644" spans="6:18" x14ac:dyDescent="0.3">
      <c r="F1644" t="str">
        <f>IF(A1644="","",4*AVERAGE($E$7:E1644))</f>
        <v/>
      </c>
      <c r="R1644" t="str">
        <f>IF(L1644="","",6*AVERAGE($Q$7:Q1644))</f>
        <v/>
      </c>
    </row>
    <row r="1645" spans="6:18" x14ac:dyDescent="0.3">
      <c r="F1645" t="str">
        <f>IF(A1645="","",4*AVERAGE($E$7:E1645))</f>
        <v/>
      </c>
      <c r="R1645" t="str">
        <f>IF(L1645="","",6*AVERAGE($Q$7:Q1645))</f>
        <v/>
      </c>
    </row>
    <row r="1646" spans="6:18" x14ac:dyDescent="0.3">
      <c r="F1646" t="str">
        <f>IF(A1646="","",4*AVERAGE($E$7:E1646))</f>
        <v/>
      </c>
      <c r="R1646" t="str">
        <f>IF(L1646="","",6*AVERAGE($Q$7:Q1646))</f>
        <v/>
      </c>
    </row>
    <row r="1647" spans="6:18" x14ac:dyDescent="0.3">
      <c r="F1647" t="str">
        <f>IF(A1647="","",4*AVERAGE($E$7:E1647))</f>
        <v/>
      </c>
      <c r="R1647" t="str">
        <f>IF(L1647="","",6*AVERAGE($Q$7:Q1647))</f>
        <v/>
      </c>
    </row>
    <row r="1648" spans="6:18" x14ac:dyDescent="0.3">
      <c r="F1648" t="str">
        <f>IF(A1648="","",4*AVERAGE($E$7:E1648))</f>
        <v/>
      </c>
      <c r="R1648" t="str">
        <f>IF(L1648="","",6*AVERAGE($Q$7:Q1648))</f>
        <v/>
      </c>
    </row>
    <row r="1649" spans="6:18" x14ac:dyDescent="0.3">
      <c r="F1649" t="str">
        <f>IF(A1649="","",4*AVERAGE($E$7:E1649))</f>
        <v/>
      </c>
      <c r="R1649" t="str">
        <f>IF(L1649="","",6*AVERAGE($Q$7:Q1649))</f>
        <v/>
      </c>
    </row>
    <row r="1650" spans="6:18" x14ac:dyDescent="0.3">
      <c r="F1650" t="str">
        <f>IF(A1650="","",4*AVERAGE($E$7:E1650))</f>
        <v/>
      </c>
      <c r="R1650" t="str">
        <f>IF(L1650="","",6*AVERAGE($Q$7:Q1650))</f>
        <v/>
      </c>
    </row>
    <row r="1651" spans="6:18" x14ac:dyDescent="0.3">
      <c r="F1651" t="str">
        <f>IF(A1651="","",4*AVERAGE($E$7:E1651))</f>
        <v/>
      </c>
      <c r="R1651" t="str">
        <f>IF(L1651="","",6*AVERAGE($Q$7:Q1651))</f>
        <v/>
      </c>
    </row>
    <row r="1652" spans="6:18" x14ac:dyDescent="0.3">
      <c r="F1652" t="str">
        <f>IF(A1652="","",4*AVERAGE($E$7:E1652))</f>
        <v/>
      </c>
      <c r="R1652" t="str">
        <f>IF(L1652="","",6*AVERAGE($Q$7:Q1652))</f>
        <v/>
      </c>
    </row>
    <row r="1653" spans="6:18" x14ac:dyDescent="0.3">
      <c r="F1653" t="str">
        <f>IF(A1653="","",4*AVERAGE($E$7:E1653))</f>
        <v/>
      </c>
      <c r="R1653" t="str">
        <f>IF(L1653="","",6*AVERAGE($Q$7:Q1653))</f>
        <v/>
      </c>
    </row>
    <row r="1654" spans="6:18" x14ac:dyDescent="0.3">
      <c r="F1654" t="str">
        <f>IF(A1654="","",4*AVERAGE($E$7:E1654))</f>
        <v/>
      </c>
      <c r="R1654" t="str">
        <f>IF(L1654="","",6*AVERAGE($Q$7:Q1654))</f>
        <v/>
      </c>
    </row>
    <row r="1655" spans="6:18" x14ac:dyDescent="0.3">
      <c r="F1655" t="str">
        <f>IF(A1655="","",4*AVERAGE($E$7:E1655))</f>
        <v/>
      </c>
      <c r="R1655" t="str">
        <f>IF(L1655="","",6*AVERAGE($Q$7:Q1655))</f>
        <v/>
      </c>
    </row>
    <row r="1656" spans="6:18" x14ac:dyDescent="0.3">
      <c r="F1656" t="str">
        <f>IF(A1656="","",4*AVERAGE($E$7:E1656))</f>
        <v/>
      </c>
      <c r="R1656" t="str">
        <f>IF(L1656="","",6*AVERAGE($Q$7:Q1656))</f>
        <v/>
      </c>
    </row>
    <row r="1657" spans="6:18" x14ac:dyDescent="0.3">
      <c r="F1657" t="str">
        <f>IF(A1657="","",4*AVERAGE($E$7:E1657))</f>
        <v/>
      </c>
      <c r="R1657" t="str">
        <f>IF(L1657="","",6*AVERAGE($Q$7:Q1657))</f>
        <v/>
      </c>
    </row>
    <row r="1658" spans="6:18" x14ac:dyDescent="0.3">
      <c r="F1658" t="str">
        <f>IF(A1658="","",4*AVERAGE($E$7:E1658))</f>
        <v/>
      </c>
      <c r="R1658" t="str">
        <f>IF(L1658="","",6*AVERAGE($Q$7:Q1658))</f>
        <v/>
      </c>
    </row>
    <row r="1659" spans="6:18" x14ac:dyDescent="0.3">
      <c r="F1659" t="str">
        <f>IF(A1659="","",4*AVERAGE($E$7:E1659))</f>
        <v/>
      </c>
      <c r="R1659" t="str">
        <f>IF(L1659="","",6*AVERAGE($Q$7:Q1659))</f>
        <v/>
      </c>
    </row>
    <row r="1660" spans="6:18" x14ac:dyDescent="0.3">
      <c r="F1660" t="str">
        <f>IF(A1660="","",4*AVERAGE($E$7:E1660))</f>
        <v/>
      </c>
      <c r="R1660" t="str">
        <f>IF(L1660="","",6*AVERAGE($Q$7:Q1660))</f>
        <v/>
      </c>
    </row>
    <row r="1661" spans="6:18" x14ac:dyDescent="0.3">
      <c r="F1661" t="str">
        <f>IF(A1661="","",4*AVERAGE($E$7:E1661))</f>
        <v/>
      </c>
      <c r="R1661" t="str">
        <f>IF(L1661="","",6*AVERAGE($Q$7:Q1661))</f>
        <v/>
      </c>
    </row>
    <row r="1662" spans="6:18" x14ac:dyDescent="0.3">
      <c r="F1662" t="str">
        <f>IF(A1662="","",4*AVERAGE($E$7:E1662))</f>
        <v/>
      </c>
      <c r="R1662" t="str">
        <f>IF(L1662="","",6*AVERAGE($Q$7:Q1662))</f>
        <v/>
      </c>
    </row>
    <row r="1663" spans="6:18" x14ac:dyDescent="0.3">
      <c r="F1663" t="str">
        <f>IF(A1663="","",4*AVERAGE($E$7:E1663))</f>
        <v/>
      </c>
      <c r="R1663" t="str">
        <f>IF(L1663="","",6*AVERAGE($Q$7:Q1663))</f>
        <v/>
      </c>
    </row>
    <row r="1664" spans="6:18" x14ac:dyDescent="0.3">
      <c r="F1664" t="str">
        <f>IF(A1664="","",4*AVERAGE($E$7:E1664))</f>
        <v/>
      </c>
      <c r="R1664" t="str">
        <f>IF(L1664="","",6*AVERAGE($Q$7:Q1664))</f>
        <v/>
      </c>
    </row>
    <row r="1665" spans="6:18" x14ac:dyDescent="0.3">
      <c r="F1665" t="str">
        <f>IF(A1665="","",4*AVERAGE($E$7:E1665))</f>
        <v/>
      </c>
      <c r="R1665" t="str">
        <f>IF(L1665="","",6*AVERAGE($Q$7:Q1665))</f>
        <v/>
      </c>
    </row>
    <row r="1666" spans="6:18" x14ac:dyDescent="0.3">
      <c r="F1666" t="str">
        <f>IF(A1666="","",4*AVERAGE($E$7:E1666))</f>
        <v/>
      </c>
      <c r="R1666" t="str">
        <f>IF(L1666="","",6*AVERAGE($Q$7:Q1666))</f>
        <v/>
      </c>
    </row>
    <row r="1667" spans="6:18" x14ac:dyDescent="0.3">
      <c r="F1667" t="str">
        <f>IF(A1667="","",4*AVERAGE($E$7:E1667))</f>
        <v/>
      </c>
      <c r="R1667" t="str">
        <f>IF(L1667="","",6*AVERAGE($Q$7:Q1667))</f>
        <v/>
      </c>
    </row>
    <row r="1668" spans="6:18" x14ac:dyDescent="0.3">
      <c r="F1668" t="str">
        <f>IF(A1668="","",4*AVERAGE($E$7:E1668))</f>
        <v/>
      </c>
      <c r="R1668" t="str">
        <f>IF(L1668="","",6*AVERAGE($Q$7:Q1668))</f>
        <v/>
      </c>
    </row>
    <row r="1669" spans="6:18" x14ac:dyDescent="0.3">
      <c r="F1669" t="str">
        <f>IF(A1669="","",4*AVERAGE($E$7:E1669))</f>
        <v/>
      </c>
      <c r="R1669" t="str">
        <f>IF(L1669="","",6*AVERAGE($Q$7:Q1669))</f>
        <v/>
      </c>
    </row>
    <row r="1670" spans="6:18" x14ac:dyDescent="0.3">
      <c r="F1670" t="str">
        <f>IF(A1670="","",4*AVERAGE($E$7:E1670))</f>
        <v/>
      </c>
      <c r="R1670" t="str">
        <f>IF(L1670="","",6*AVERAGE($Q$7:Q1670))</f>
        <v/>
      </c>
    </row>
    <row r="1671" spans="6:18" x14ac:dyDescent="0.3">
      <c r="F1671" t="str">
        <f>IF(A1671="","",4*AVERAGE($E$7:E1671))</f>
        <v/>
      </c>
      <c r="R1671" t="str">
        <f>IF(L1671="","",6*AVERAGE($Q$7:Q1671))</f>
        <v/>
      </c>
    </row>
    <row r="1672" spans="6:18" x14ac:dyDescent="0.3">
      <c r="F1672" t="str">
        <f>IF(A1672="","",4*AVERAGE($E$7:E1672))</f>
        <v/>
      </c>
      <c r="R1672" t="str">
        <f>IF(L1672="","",6*AVERAGE($Q$7:Q1672))</f>
        <v/>
      </c>
    </row>
    <row r="1673" spans="6:18" x14ac:dyDescent="0.3">
      <c r="F1673" t="str">
        <f>IF(A1673="","",4*AVERAGE($E$7:E1673))</f>
        <v/>
      </c>
      <c r="R1673" t="str">
        <f>IF(L1673="","",6*AVERAGE($Q$7:Q1673))</f>
        <v/>
      </c>
    </row>
    <row r="1674" spans="6:18" x14ac:dyDescent="0.3">
      <c r="F1674" t="str">
        <f>IF(A1674="","",4*AVERAGE($E$7:E1674))</f>
        <v/>
      </c>
      <c r="R1674" t="str">
        <f>IF(L1674="","",6*AVERAGE($Q$7:Q1674))</f>
        <v/>
      </c>
    </row>
    <row r="1675" spans="6:18" x14ac:dyDescent="0.3">
      <c r="F1675" t="str">
        <f>IF(A1675="","",4*AVERAGE($E$7:E1675))</f>
        <v/>
      </c>
      <c r="R1675" t="str">
        <f>IF(L1675="","",6*AVERAGE($Q$7:Q1675))</f>
        <v/>
      </c>
    </row>
    <row r="1676" spans="6:18" x14ac:dyDescent="0.3">
      <c r="F1676" t="str">
        <f>IF(A1676="","",4*AVERAGE($E$7:E1676))</f>
        <v/>
      </c>
      <c r="R1676" t="str">
        <f>IF(L1676="","",6*AVERAGE($Q$7:Q1676))</f>
        <v/>
      </c>
    </row>
    <row r="1677" spans="6:18" x14ac:dyDescent="0.3">
      <c r="F1677" t="str">
        <f>IF(A1677="","",4*AVERAGE($E$7:E1677))</f>
        <v/>
      </c>
      <c r="R1677" t="str">
        <f>IF(L1677="","",6*AVERAGE($Q$7:Q1677))</f>
        <v/>
      </c>
    </row>
    <row r="1678" spans="6:18" x14ac:dyDescent="0.3">
      <c r="F1678" t="str">
        <f>IF(A1678="","",4*AVERAGE($E$7:E1678))</f>
        <v/>
      </c>
      <c r="R1678" t="str">
        <f>IF(L1678="","",6*AVERAGE($Q$7:Q1678))</f>
        <v/>
      </c>
    </row>
    <row r="1679" spans="6:18" x14ac:dyDescent="0.3">
      <c r="F1679" t="str">
        <f>IF(A1679="","",4*AVERAGE($E$7:E1679))</f>
        <v/>
      </c>
      <c r="R1679" t="str">
        <f>IF(L1679="","",6*AVERAGE($Q$7:Q1679))</f>
        <v/>
      </c>
    </row>
    <row r="1680" spans="6:18" x14ac:dyDescent="0.3">
      <c r="F1680" t="str">
        <f>IF(A1680="","",4*AVERAGE($E$7:E1680))</f>
        <v/>
      </c>
      <c r="R1680" t="str">
        <f>IF(L1680="","",6*AVERAGE($Q$7:Q1680))</f>
        <v/>
      </c>
    </row>
    <row r="1681" spans="6:18" x14ac:dyDescent="0.3">
      <c r="F1681" t="str">
        <f>IF(A1681="","",4*AVERAGE($E$7:E1681))</f>
        <v/>
      </c>
      <c r="R1681" t="str">
        <f>IF(L1681="","",6*AVERAGE($Q$7:Q1681))</f>
        <v/>
      </c>
    </row>
    <row r="1682" spans="6:18" x14ac:dyDescent="0.3">
      <c r="F1682" t="str">
        <f>IF(A1682="","",4*AVERAGE($E$7:E1682))</f>
        <v/>
      </c>
      <c r="R1682" t="str">
        <f>IF(L1682="","",6*AVERAGE($Q$7:Q1682))</f>
        <v/>
      </c>
    </row>
    <row r="1683" spans="6:18" x14ac:dyDescent="0.3">
      <c r="F1683" t="str">
        <f>IF(A1683="","",4*AVERAGE($E$7:E1683))</f>
        <v/>
      </c>
      <c r="R1683" t="str">
        <f>IF(L1683="","",6*AVERAGE($Q$7:Q1683))</f>
        <v/>
      </c>
    </row>
    <row r="1684" spans="6:18" x14ac:dyDescent="0.3">
      <c r="F1684" t="str">
        <f>IF(A1684="","",4*AVERAGE($E$7:E1684))</f>
        <v/>
      </c>
      <c r="R1684" t="str">
        <f>IF(L1684="","",6*AVERAGE($Q$7:Q1684))</f>
        <v/>
      </c>
    </row>
    <row r="1685" spans="6:18" x14ac:dyDescent="0.3">
      <c r="F1685" t="str">
        <f>IF(A1685="","",4*AVERAGE($E$7:E1685))</f>
        <v/>
      </c>
      <c r="R1685" t="str">
        <f>IF(L1685="","",6*AVERAGE($Q$7:Q1685))</f>
        <v/>
      </c>
    </row>
    <row r="1686" spans="6:18" x14ac:dyDescent="0.3">
      <c r="F1686" t="str">
        <f>IF(A1686="","",4*AVERAGE($E$7:E1686))</f>
        <v/>
      </c>
      <c r="R1686" t="str">
        <f>IF(L1686="","",6*AVERAGE($Q$7:Q1686))</f>
        <v/>
      </c>
    </row>
    <row r="1687" spans="6:18" x14ac:dyDescent="0.3">
      <c r="F1687" t="str">
        <f>IF(A1687="","",4*AVERAGE($E$7:E1687))</f>
        <v/>
      </c>
      <c r="R1687" t="str">
        <f>IF(L1687="","",6*AVERAGE($Q$7:Q1687))</f>
        <v/>
      </c>
    </row>
    <row r="1688" spans="6:18" x14ac:dyDescent="0.3">
      <c r="F1688" t="str">
        <f>IF(A1688="","",4*AVERAGE($E$7:E1688))</f>
        <v/>
      </c>
      <c r="R1688" t="str">
        <f>IF(L1688="","",6*AVERAGE($Q$7:Q1688))</f>
        <v/>
      </c>
    </row>
    <row r="1689" spans="6:18" x14ac:dyDescent="0.3">
      <c r="F1689" t="str">
        <f>IF(A1689="","",4*AVERAGE($E$7:E1689))</f>
        <v/>
      </c>
      <c r="R1689" t="str">
        <f>IF(L1689="","",6*AVERAGE($Q$7:Q1689))</f>
        <v/>
      </c>
    </row>
    <row r="1690" spans="6:18" x14ac:dyDescent="0.3">
      <c r="F1690" t="str">
        <f>IF(A1690="","",4*AVERAGE($E$7:E1690))</f>
        <v/>
      </c>
      <c r="R1690" t="str">
        <f>IF(L1690="","",6*AVERAGE($Q$7:Q1690))</f>
        <v/>
      </c>
    </row>
    <row r="1691" spans="6:18" x14ac:dyDescent="0.3">
      <c r="F1691" t="str">
        <f>IF(A1691="","",4*AVERAGE($E$7:E1691))</f>
        <v/>
      </c>
      <c r="R1691" t="str">
        <f>IF(L1691="","",6*AVERAGE($Q$7:Q1691))</f>
        <v/>
      </c>
    </row>
    <row r="1692" spans="6:18" x14ac:dyDescent="0.3">
      <c r="F1692" t="str">
        <f>IF(A1692="","",4*AVERAGE($E$7:E1692))</f>
        <v/>
      </c>
      <c r="R1692" t="str">
        <f>IF(L1692="","",6*AVERAGE($Q$7:Q1692))</f>
        <v/>
      </c>
    </row>
    <row r="1693" spans="6:18" x14ac:dyDescent="0.3">
      <c r="F1693" t="str">
        <f>IF(A1693="","",4*AVERAGE($E$7:E1693))</f>
        <v/>
      </c>
      <c r="R1693" t="str">
        <f>IF(L1693="","",6*AVERAGE($Q$7:Q1693))</f>
        <v/>
      </c>
    </row>
    <row r="1694" spans="6:18" x14ac:dyDescent="0.3">
      <c r="F1694" t="str">
        <f>IF(A1694="","",4*AVERAGE($E$7:E1694))</f>
        <v/>
      </c>
      <c r="R1694" t="str">
        <f>IF(L1694="","",6*AVERAGE($Q$7:Q1694))</f>
        <v/>
      </c>
    </row>
    <row r="1695" spans="6:18" x14ac:dyDescent="0.3">
      <c r="F1695" t="str">
        <f>IF(A1695="","",4*AVERAGE($E$7:E1695))</f>
        <v/>
      </c>
      <c r="R1695" t="str">
        <f>IF(L1695="","",6*AVERAGE($Q$7:Q1695))</f>
        <v/>
      </c>
    </row>
    <row r="1696" spans="6:18" x14ac:dyDescent="0.3">
      <c r="F1696" t="str">
        <f>IF(A1696="","",4*AVERAGE($E$7:E1696))</f>
        <v/>
      </c>
      <c r="R1696" t="str">
        <f>IF(L1696="","",6*AVERAGE($Q$7:Q1696))</f>
        <v/>
      </c>
    </row>
    <row r="1697" spans="6:18" x14ac:dyDescent="0.3">
      <c r="F1697" t="str">
        <f>IF(A1697="","",4*AVERAGE($E$7:E1697))</f>
        <v/>
      </c>
      <c r="R1697" t="str">
        <f>IF(L1697="","",6*AVERAGE($Q$7:Q1697))</f>
        <v/>
      </c>
    </row>
    <row r="1698" spans="6:18" x14ac:dyDescent="0.3">
      <c r="F1698" t="str">
        <f>IF(A1698="","",4*AVERAGE($E$7:E1698))</f>
        <v/>
      </c>
      <c r="R1698" t="str">
        <f>IF(L1698="","",6*AVERAGE($Q$7:Q1698))</f>
        <v/>
      </c>
    </row>
    <row r="1699" spans="6:18" x14ac:dyDescent="0.3">
      <c r="F1699" t="str">
        <f>IF(A1699="","",4*AVERAGE($E$7:E1699))</f>
        <v/>
      </c>
      <c r="R1699" t="str">
        <f>IF(L1699="","",6*AVERAGE($Q$7:Q1699))</f>
        <v/>
      </c>
    </row>
    <row r="1700" spans="6:18" x14ac:dyDescent="0.3">
      <c r="F1700" t="str">
        <f>IF(A1700="","",4*AVERAGE($E$7:E1700))</f>
        <v/>
      </c>
      <c r="R1700" t="str">
        <f>IF(L1700="","",6*AVERAGE($Q$7:Q1700))</f>
        <v/>
      </c>
    </row>
    <row r="1701" spans="6:18" x14ac:dyDescent="0.3">
      <c r="F1701" t="str">
        <f>IF(A1701="","",4*AVERAGE($E$7:E1701))</f>
        <v/>
      </c>
      <c r="R1701" t="str">
        <f>IF(L1701="","",6*AVERAGE($Q$7:Q1701))</f>
        <v/>
      </c>
    </row>
    <row r="1702" spans="6:18" x14ac:dyDescent="0.3">
      <c r="F1702" t="str">
        <f>IF(A1702="","",4*AVERAGE($E$7:E1702))</f>
        <v/>
      </c>
      <c r="R1702" t="str">
        <f>IF(L1702="","",6*AVERAGE($Q$7:Q1702))</f>
        <v/>
      </c>
    </row>
    <row r="1703" spans="6:18" x14ac:dyDescent="0.3">
      <c r="F1703" t="str">
        <f>IF(A1703="","",4*AVERAGE($E$7:E1703))</f>
        <v/>
      </c>
      <c r="R1703" t="str">
        <f>IF(L1703="","",6*AVERAGE($Q$7:Q1703))</f>
        <v/>
      </c>
    </row>
    <row r="1704" spans="6:18" x14ac:dyDescent="0.3">
      <c r="F1704" t="str">
        <f>IF(A1704="","",4*AVERAGE($E$7:E1704))</f>
        <v/>
      </c>
      <c r="R1704" t="str">
        <f>IF(L1704="","",6*AVERAGE($Q$7:Q1704))</f>
        <v/>
      </c>
    </row>
    <row r="1705" spans="6:18" x14ac:dyDescent="0.3">
      <c r="F1705" t="str">
        <f>IF(A1705="","",4*AVERAGE($E$7:E1705))</f>
        <v/>
      </c>
      <c r="R1705" t="str">
        <f>IF(L1705="","",6*AVERAGE($Q$7:Q1705))</f>
        <v/>
      </c>
    </row>
    <row r="1706" spans="6:18" x14ac:dyDescent="0.3">
      <c r="F1706" t="str">
        <f>IF(A1706="","",4*AVERAGE($E$7:E1706))</f>
        <v/>
      </c>
      <c r="R1706" t="str">
        <f>IF(L1706="","",6*AVERAGE($Q$7:Q1706))</f>
        <v/>
      </c>
    </row>
    <row r="1707" spans="6:18" x14ac:dyDescent="0.3">
      <c r="F1707" t="str">
        <f>IF(A1707="","",4*AVERAGE($E$7:E1707))</f>
        <v/>
      </c>
      <c r="R1707" t="str">
        <f>IF(L1707="","",6*AVERAGE($Q$7:Q1707))</f>
        <v/>
      </c>
    </row>
    <row r="1708" spans="6:18" x14ac:dyDescent="0.3">
      <c r="F1708" t="str">
        <f>IF(A1708="","",4*AVERAGE($E$7:E1708))</f>
        <v/>
      </c>
      <c r="R1708" t="str">
        <f>IF(L1708="","",6*AVERAGE($Q$7:Q1708))</f>
        <v/>
      </c>
    </row>
    <row r="1709" spans="6:18" x14ac:dyDescent="0.3">
      <c r="F1709" t="str">
        <f>IF(A1709="","",4*AVERAGE($E$7:E1709))</f>
        <v/>
      </c>
      <c r="R1709" t="str">
        <f>IF(L1709="","",6*AVERAGE($Q$7:Q1709))</f>
        <v/>
      </c>
    </row>
    <row r="1710" spans="6:18" x14ac:dyDescent="0.3">
      <c r="F1710" t="str">
        <f>IF(A1710="","",4*AVERAGE($E$7:E1710))</f>
        <v/>
      </c>
      <c r="R1710" t="str">
        <f>IF(L1710="","",6*AVERAGE($Q$7:Q1710))</f>
        <v/>
      </c>
    </row>
    <row r="1711" spans="6:18" x14ac:dyDescent="0.3">
      <c r="F1711" t="str">
        <f>IF(A1711="","",4*AVERAGE($E$7:E1711))</f>
        <v/>
      </c>
      <c r="R1711" t="str">
        <f>IF(L1711="","",6*AVERAGE($Q$7:Q1711))</f>
        <v/>
      </c>
    </row>
    <row r="1712" spans="6:18" x14ac:dyDescent="0.3">
      <c r="F1712" t="str">
        <f>IF(A1712="","",4*AVERAGE($E$7:E1712))</f>
        <v/>
      </c>
      <c r="R1712" t="str">
        <f>IF(L1712="","",6*AVERAGE($Q$7:Q1712))</f>
        <v/>
      </c>
    </row>
    <row r="1713" spans="6:18" x14ac:dyDescent="0.3">
      <c r="F1713" t="str">
        <f>IF(A1713="","",4*AVERAGE($E$7:E1713))</f>
        <v/>
      </c>
      <c r="R1713" t="str">
        <f>IF(L1713="","",6*AVERAGE($Q$7:Q1713))</f>
        <v/>
      </c>
    </row>
    <row r="1714" spans="6:18" x14ac:dyDescent="0.3">
      <c r="F1714" t="str">
        <f>IF(A1714="","",4*AVERAGE($E$7:E1714))</f>
        <v/>
      </c>
      <c r="R1714" t="str">
        <f>IF(L1714="","",6*AVERAGE($Q$7:Q1714))</f>
        <v/>
      </c>
    </row>
    <row r="1715" spans="6:18" x14ac:dyDescent="0.3">
      <c r="F1715" t="str">
        <f>IF(A1715="","",4*AVERAGE($E$7:E1715))</f>
        <v/>
      </c>
      <c r="R1715" t="str">
        <f>IF(L1715="","",6*AVERAGE($Q$7:Q1715))</f>
        <v/>
      </c>
    </row>
    <row r="1716" spans="6:18" x14ac:dyDescent="0.3">
      <c r="F1716" t="str">
        <f>IF(A1716="","",4*AVERAGE($E$7:E1716))</f>
        <v/>
      </c>
      <c r="R1716" t="str">
        <f>IF(L1716="","",6*AVERAGE($Q$7:Q1716))</f>
        <v/>
      </c>
    </row>
    <row r="1717" spans="6:18" x14ac:dyDescent="0.3">
      <c r="F1717" t="str">
        <f>IF(A1717="","",4*AVERAGE($E$7:E1717))</f>
        <v/>
      </c>
      <c r="R1717" t="str">
        <f>IF(L1717="","",6*AVERAGE($Q$7:Q1717))</f>
        <v/>
      </c>
    </row>
    <row r="1718" spans="6:18" x14ac:dyDescent="0.3">
      <c r="F1718" t="str">
        <f>IF(A1718="","",4*AVERAGE($E$7:E1718))</f>
        <v/>
      </c>
      <c r="R1718" t="str">
        <f>IF(L1718="","",6*AVERAGE($Q$7:Q1718))</f>
        <v/>
      </c>
    </row>
    <row r="1719" spans="6:18" x14ac:dyDescent="0.3">
      <c r="F1719" t="str">
        <f>IF(A1719="","",4*AVERAGE($E$7:E1719))</f>
        <v/>
      </c>
      <c r="R1719" t="str">
        <f>IF(L1719="","",6*AVERAGE($Q$7:Q1719))</f>
        <v/>
      </c>
    </row>
    <row r="1720" spans="6:18" x14ac:dyDescent="0.3">
      <c r="F1720" t="str">
        <f>IF(A1720="","",4*AVERAGE($E$7:E1720))</f>
        <v/>
      </c>
      <c r="R1720" t="str">
        <f>IF(L1720="","",6*AVERAGE($Q$7:Q1720))</f>
        <v/>
      </c>
    </row>
    <row r="1721" spans="6:18" x14ac:dyDescent="0.3">
      <c r="F1721" t="str">
        <f>IF(A1721="","",4*AVERAGE($E$7:E1721))</f>
        <v/>
      </c>
      <c r="R1721" t="str">
        <f>IF(L1721="","",6*AVERAGE($Q$7:Q1721))</f>
        <v/>
      </c>
    </row>
    <row r="1722" spans="6:18" x14ac:dyDescent="0.3">
      <c r="F1722" t="str">
        <f>IF(A1722="","",4*AVERAGE($E$7:E1722))</f>
        <v/>
      </c>
      <c r="R1722" t="str">
        <f>IF(L1722="","",6*AVERAGE($Q$7:Q1722))</f>
        <v/>
      </c>
    </row>
    <row r="1723" spans="6:18" x14ac:dyDescent="0.3">
      <c r="F1723" t="str">
        <f>IF(A1723="","",4*AVERAGE($E$7:E1723))</f>
        <v/>
      </c>
      <c r="R1723" t="str">
        <f>IF(L1723="","",6*AVERAGE($Q$7:Q1723))</f>
        <v/>
      </c>
    </row>
    <row r="1724" spans="6:18" x14ac:dyDescent="0.3">
      <c r="F1724" t="str">
        <f>IF(A1724="","",4*AVERAGE($E$7:E1724))</f>
        <v/>
      </c>
      <c r="R1724" t="str">
        <f>IF(L1724="","",6*AVERAGE($Q$7:Q1724))</f>
        <v/>
      </c>
    </row>
    <row r="1725" spans="6:18" x14ac:dyDescent="0.3">
      <c r="F1725" t="str">
        <f>IF(A1725="","",4*AVERAGE($E$7:E1725))</f>
        <v/>
      </c>
      <c r="R1725" t="str">
        <f>IF(L1725="","",6*AVERAGE($Q$7:Q1725))</f>
        <v/>
      </c>
    </row>
    <row r="1726" spans="6:18" x14ac:dyDescent="0.3">
      <c r="F1726" t="str">
        <f>IF(A1726="","",4*AVERAGE($E$7:E1726))</f>
        <v/>
      </c>
      <c r="R1726" t="str">
        <f>IF(L1726="","",6*AVERAGE($Q$7:Q1726))</f>
        <v/>
      </c>
    </row>
    <row r="1727" spans="6:18" x14ac:dyDescent="0.3">
      <c r="F1727" t="str">
        <f>IF(A1727="","",4*AVERAGE($E$7:E1727))</f>
        <v/>
      </c>
      <c r="R1727" t="str">
        <f>IF(L1727="","",6*AVERAGE($Q$7:Q1727))</f>
        <v/>
      </c>
    </row>
    <row r="1728" spans="6:18" x14ac:dyDescent="0.3">
      <c r="F1728" t="str">
        <f>IF(A1728="","",4*AVERAGE($E$7:E1728))</f>
        <v/>
      </c>
      <c r="R1728" t="str">
        <f>IF(L1728="","",6*AVERAGE($Q$7:Q1728))</f>
        <v/>
      </c>
    </row>
    <row r="1729" spans="6:18" x14ac:dyDescent="0.3">
      <c r="F1729" t="str">
        <f>IF(A1729="","",4*AVERAGE($E$7:E1729))</f>
        <v/>
      </c>
      <c r="R1729" t="str">
        <f>IF(L1729="","",6*AVERAGE($Q$7:Q1729))</f>
        <v/>
      </c>
    </row>
    <row r="1730" spans="6:18" x14ac:dyDescent="0.3">
      <c r="F1730" t="str">
        <f>IF(A1730="","",4*AVERAGE($E$7:E1730))</f>
        <v/>
      </c>
      <c r="R1730" t="str">
        <f>IF(L1730="","",6*AVERAGE($Q$7:Q1730))</f>
        <v/>
      </c>
    </row>
    <row r="1731" spans="6:18" x14ac:dyDescent="0.3">
      <c r="F1731" t="str">
        <f>IF(A1731="","",4*AVERAGE($E$7:E1731))</f>
        <v/>
      </c>
      <c r="R1731" t="str">
        <f>IF(L1731="","",6*AVERAGE($Q$7:Q1731))</f>
        <v/>
      </c>
    </row>
    <row r="1732" spans="6:18" x14ac:dyDescent="0.3">
      <c r="F1732" t="str">
        <f>IF(A1732="","",4*AVERAGE($E$7:E1732))</f>
        <v/>
      </c>
      <c r="R1732" t="str">
        <f>IF(L1732="","",6*AVERAGE($Q$7:Q1732))</f>
        <v/>
      </c>
    </row>
    <row r="1733" spans="6:18" x14ac:dyDescent="0.3">
      <c r="F1733" t="str">
        <f>IF(A1733="","",4*AVERAGE($E$7:E1733))</f>
        <v/>
      </c>
      <c r="R1733" t="str">
        <f>IF(L1733="","",6*AVERAGE($Q$7:Q1733))</f>
        <v/>
      </c>
    </row>
    <row r="1734" spans="6:18" x14ac:dyDescent="0.3">
      <c r="F1734" t="str">
        <f>IF(A1734="","",4*AVERAGE($E$7:E1734))</f>
        <v/>
      </c>
      <c r="R1734" t="str">
        <f>IF(L1734="","",6*AVERAGE($Q$7:Q1734))</f>
        <v/>
      </c>
    </row>
    <row r="1735" spans="6:18" x14ac:dyDescent="0.3">
      <c r="F1735" t="str">
        <f>IF(A1735="","",4*AVERAGE($E$7:E1735))</f>
        <v/>
      </c>
      <c r="R1735" t="str">
        <f>IF(L1735="","",6*AVERAGE($Q$7:Q1735))</f>
        <v/>
      </c>
    </row>
    <row r="1736" spans="6:18" x14ac:dyDescent="0.3">
      <c r="F1736" t="str">
        <f>IF(A1736="","",4*AVERAGE($E$7:E1736))</f>
        <v/>
      </c>
      <c r="R1736" t="str">
        <f>IF(L1736="","",6*AVERAGE($Q$7:Q1736))</f>
        <v/>
      </c>
    </row>
    <row r="1737" spans="6:18" x14ac:dyDescent="0.3">
      <c r="F1737" t="str">
        <f>IF(A1737="","",4*AVERAGE($E$7:E1737))</f>
        <v/>
      </c>
      <c r="R1737" t="str">
        <f>IF(L1737="","",6*AVERAGE($Q$7:Q1737))</f>
        <v/>
      </c>
    </row>
    <row r="1738" spans="6:18" x14ac:dyDescent="0.3">
      <c r="F1738" t="str">
        <f>IF(A1738="","",4*AVERAGE($E$7:E1738))</f>
        <v/>
      </c>
      <c r="R1738" t="str">
        <f>IF(L1738="","",6*AVERAGE($Q$7:Q1738))</f>
        <v/>
      </c>
    </row>
    <row r="1739" spans="6:18" x14ac:dyDescent="0.3">
      <c r="F1739" t="str">
        <f>IF(A1739="","",4*AVERAGE($E$7:E1739))</f>
        <v/>
      </c>
      <c r="R1739" t="str">
        <f>IF(L1739="","",6*AVERAGE($Q$7:Q1739))</f>
        <v/>
      </c>
    </row>
    <row r="1740" spans="6:18" x14ac:dyDescent="0.3">
      <c r="F1740" t="str">
        <f>IF(A1740="","",4*AVERAGE($E$7:E1740))</f>
        <v/>
      </c>
      <c r="R1740" t="str">
        <f>IF(L1740="","",6*AVERAGE($Q$7:Q1740))</f>
        <v/>
      </c>
    </row>
    <row r="1741" spans="6:18" x14ac:dyDescent="0.3">
      <c r="F1741" t="str">
        <f>IF(A1741="","",4*AVERAGE($E$7:E1741))</f>
        <v/>
      </c>
      <c r="R1741" t="str">
        <f>IF(L1741="","",6*AVERAGE($Q$7:Q1741))</f>
        <v/>
      </c>
    </row>
    <row r="1742" spans="6:18" x14ac:dyDescent="0.3">
      <c r="F1742" t="str">
        <f>IF(A1742="","",4*AVERAGE($E$7:E1742))</f>
        <v/>
      </c>
      <c r="R1742" t="str">
        <f>IF(L1742="","",6*AVERAGE($Q$7:Q1742))</f>
        <v/>
      </c>
    </row>
    <row r="1743" spans="6:18" x14ac:dyDescent="0.3">
      <c r="F1743" t="str">
        <f>IF(A1743="","",4*AVERAGE($E$7:E1743))</f>
        <v/>
      </c>
      <c r="R1743" t="str">
        <f>IF(L1743="","",6*AVERAGE($Q$7:Q1743))</f>
        <v/>
      </c>
    </row>
    <row r="1744" spans="6:18" x14ac:dyDescent="0.3">
      <c r="F1744" t="str">
        <f>IF(A1744="","",4*AVERAGE($E$7:E1744))</f>
        <v/>
      </c>
      <c r="R1744" t="str">
        <f>IF(L1744="","",6*AVERAGE($Q$7:Q1744))</f>
        <v/>
      </c>
    </row>
    <row r="1745" spans="6:18" x14ac:dyDescent="0.3">
      <c r="F1745" t="str">
        <f>IF(A1745="","",4*AVERAGE($E$7:E1745))</f>
        <v/>
      </c>
      <c r="R1745" t="str">
        <f>IF(L1745="","",6*AVERAGE($Q$7:Q1745))</f>
        <v/>
      </c>
    </row>
    <row r="1746" spans="6:18" x14ac:dyDescent="0.3">
      <c r="F1746" t="str">
        <f>IF(A1746="","",4*AVERAGE($E$7:E1746))</f>
        <v/>
      </c>
      <c r="R1746" t="str">
        <f>IF(L1746="","",6*AVERAGE($Q$7:Q1746))</f>
        <v/>
      </c>
    </row>
    <row r="1747" spans="6:18" x14ac:dyDescent="0.3">
      <c r="F1747" t="str">
        <f>IF(A1747="","",4*AVERAGE($E$7:E1747))</f>
        <v/>
      </c>
      <c r="R1747" t="str">
        <f>IF(L1747="","",6*AVERAGE($Q$7:Q1747))</f>
        <v/>
      </c>
    </row>
    <row r="1748" spans="6:18" x14ac:dyDescent="0.3">
      <c r="F1748" t="str">
        <f>IF(A1748="","",4*AVERAGE($E$7:E1748))</f>
        <v/>
      </c>
      <c r="R1748" t="str">
        <f>IF(L1748="","",6*AVERAGE($Q$7:Q1748))</f>
        <v/>
      </c>
    </row>
    <row r="1749" spans="6:18" x14ac:dyDescent="0.3">
      <c r="F1749" t="str">
        <f>IF(A1749="","",4*AVERAGE($E$7:E1749))</f>
        <v/>
      </c>
      <c r="R1749" t="str">
        <f>IF(L1749="","",6*AVERAGE($Q$7:Q1749))</f>
        <v/>
      </c>
    </row>
    <row r="1750" spans="6:18" x14ac:dyDescent="0.3">
      <c r="F1750" t="str">
        <f>IF(A1750="","",4*AVERAGE($E$7:E1750))</f>
        <v/>
      </c>
      <c r="R1750" t="str">
        <f>IF(L1750="","",6*AVERAGE($Q$7:Q1750))</f>
        <v/>
      </c>
    </row>
    <row r="1751" spans="6:18" x14ac:dyDescent="0.3">
      <c r="F1751" t="str">
        <f>IF(A1751="","",4*AVERAGE($E$7:E1751))</f>
        <v/>
      </c>
      <c r="R1751" t="str">
        <f>IF(L1751="","",6*AVERAGE($Q$7:Q1751))</f>
        <v/>
      </c>
    </row>
    <row r="1752" spans="6:18" x14ac:dyDescent="0.3">
      <c r="F1752" t="str">
        <f>IF(A1752="","",4*AVERAGE($E$7:E1752))</f>
        <v/>
      </c>
      <c r="R1752" t="str">
        <f>IF(L1752="","",6*AVERAGE($Q$7:Q1752))</f>
        <v/>
      </c>
    </row>
    <row r="1753" spans="6:18" x14ac:dyDescent="0.3">
      <c r="F1753" t="str">
        <f>IF(A1753="","",4*AVERAGE($E$7:E1753))</f>
        <v/>
      </c>
      <c r="R1753" t="str">
        <f>IF(L1753="","",6*AVERAGE($Q$7:Q1753))</f>
        <v/>
      </c>
    </row>
    <row r="1754" spans="6:18" x14ac:dyDescent="0.3">
      <c r="F1754" t="str">
        <f>IF(A1754="","",4*AVERAGE($E$7:E1754))</f>
        <v/>
      </c>
      <c r="R1754" t="str">
        <f>IF(L1754="","",6*AVERAGE($Q$7:Q1754))</f>
        <v/>
      </c>
    </row>
    <row r="1755" spans="6:18" x14ac:dyDescent="0.3">
      <c r="F1755" t="str">
        <f>IF(A1755="","",4*AVERAGE($E$7:E1755))</f>
        <v/>
      </c>
      <c r="R1755" t="str">
        <f>IF(L1755="","",6*AVERAGE($Q$7:Q1755))</f>
        <v/>
      </c>
    </row>
    <row r="1756" spans="6:18" x14ac:dyDescent="0.3">
      <c r="F1756" t="str">
        <f>IF(A1756="","",4*AVERAGE($E$7:E1756))</f>
        <v/>
      </c>
      <c r="R1756" t="str">
        <f>IF(L1756="","",6*AVERAGE($Q$7:Q1756))</f>
        <v/>
      </c>
    </row>
    <row r="1757" spans="6:18" x14ac:dyDescent="0.3">
      <c r="F1757" t="str">
        <f>IF(A1757="","",4*AVERAGE($E$7:E1757))</f>
        <v/>
      </c>
      <c r="R1757" t="str">
        <f>IF(L1757="","",6*AVERAGE($Q$7:Q1757))</f>
        <v/>
      </c>
    </row>
    <row r="1758" spans="6:18" x14ac:dyDescent="0.3">
      <c r="F1758" t="str">
        <f>IF(A1758="","",4*AVERAGE($E$7:E1758))</f>
        <v/>
      </c>
      <c r="R1758" t="str">
        <f>IF(L1758="","",6*AVERAGE($Q$7:Q1758))</f>
        <v/>
      </c>
    </row>
    <row r="1759" spans="6:18" x14ac:dyDescent="0.3">
      <c r="F1759" t="str">
        <f>IF(A1759="","",4*AVERAGE($E$7:E1759))</f>
        <v/>
      </c>
      <c r="R1759" t="str">
        <f>IF(L1759="","",6*AVERAGE($Q$7:Q1759))</f>
        <v/>
      </c>
    </row>
    <row r="1760" spans="6:18" x14ac:dyDescent="0.3">
      <c r="F1760" t="str">
        <f>IF(A1760="","",4*AVERAGE($E$7:E1760))</f>
        <v/>
      </c>
      <c r="R1760" t="str">
        <f>IF(L1760="","",6*AVERAGE($Q$7:Q1760))</f>
        <v/>
      </c>
    </row>
    <row r="1761" spans="6:18" x14ac:dyDescent="0.3">
      <c r="F1761" t="str">
        <f>IF(A1761="","",4*AVERAGE($E$7:E1761))</f>
        <v/>
      </c>
      <c r="R1761" t="str">
        <f>IF(L1761="","",6*AVERAGE($Q$7:Q1761))</f>
        <v/>
      </c>
    </row>
    <row r="1762" spans="6:18" x14ac:dyDescent="0.3">
      <c r="F1762" t="str">
        <f>IF(A1762="","",4*AVERAGE($E$7:E1762))</f>
        <v/>
      </c>
      <c r="R1762" t="str">
        <f>IF(L1762="","",6*AVERAGE($Q$7:Q1762))</f>
        <v/>
      </c>
    </row>
    <row r="1763" spans="6:18" x14ac:dyDescent="0.3">
      <c r="F1763" t="str">
        <f>IF(A1763="","",4*AVERAGE($E$7:E1763))</f>
        <v/>
      </c>
      <c r="R1763" t="str">
        <f>IF(L1763="","",6*AVERAGE($Q$7:Q1763))</f>
        <v/>
      </c>
    </row>
    <row r="1764" spans="6:18" x14ac:dyDescent="0.3">
      <c r="F1764" t="str">
        <f>IF(A1764="","",4*AVERAGE($E$7:E1764))</f>
        <v/>
      </c>
      <c r="R1764" t="str">
        <f>IF(L1764="","",6*AVERAGE($Q$7:Q1764))</f>
        <v/>
      </c>
    </row>
    <row r="1765" spans="6:18" x14ac:dyDescent="0.3">
      <c r="F1765" t="str">
        <f>IF(A1765="","",4*AVERAGE($E$7:E1765))</f>
        <v/>
      </c>
      <c r="R1765" t="str">
        <f>IF(L1765="","",6*AVERAGE($Q$7:Q1765))</f>
        <v/>
      </c>
    </row>
    <row r="1766" spans="6:18" x14ac:dyDescent="0.3">
      <c r="F1766" t="str">
        <f>IF(A1766="","",4*AVERAGE($E$7:E1766))</f>
        <v/>
      </c>
      <c r="R1766" t="str">
        <f>IF(L1766="","",6*AVERAGE($Q$7:Q1766))</f>
        <v/>
      </c>
    </row>
    <row r="1767" spans="6:18" x14ac:dyDescent="0.3">
      <c r="F1767" t="str">
        <f>IF(A1767="","",4*AVERAGE($E$7:E1767))</f>
        <v/>
      </c>
      <c r="R1767" t="str">
        <f>IF(L1767="","",6*AVERAGE($Q$7:Q1767))</f>
        <v/>
      </c>
    </row>
    <row r="1768" spans="6:18" x14ac:dyDescent="0.3">
      <c r="F1768" t="str">
        <f>IF(A1768="","",4*AVERAGE($E$7:E1768))</f>
        <v/>
      </c>
      <c r="R1768" t="str">
        <f>IF(L1768="","",6*AVERAGE($Q$7:Q1768))</f>
        <v/>
      </c>
    </row>
    <row r="1769" spans="6:18" x14ac:dyDescent="0.3">
      <c r="F1769" t="str">
        <f>IF(A1769="","",4*AVERAGE($E$7:E1769))</f>
        <v/>
      </c>
      <c r="R1769" t="str">
        <f>IF(L1769="","",6*AVERAGE($Q$7:Q1769))</f>
        <v/>
      </c>
    </row>
    <row r="1770" spans="6:18" x14ac:dyDescent="0.3">
      <c r="F1770" t="str">
        <f>IF(A1770="","",4*AVERAGE($E$7:E1770))</f>
        <v/>
      </c>
      <c r="R1770" t="str">
        <f>IF(L1770="","",6*AVERAGE($Q$7:Q1770))</f>
        <v/>
      </c>
    </row>
    <row r="1771" spans="6:18" x14ac:dyDescent="0.3">
      <c r="F1771" t="str">
        <f>IF(A1771="","",4*AVERAGE($E$7:E1771))</f>
        <v/>
      </c>
      <c r="R1771" t="str">
        <f>IF(L1771="","",6*AVERAGE($Q$7:Q1771))</f>
        <v/>
      </c>
    </row>
    <row r="1772" spans="6:18" x14ac:dyDescent="0.3">
      <c r="F1772" t="str">
        <f>IF(A1772="","",4*AVERAGE($E$7:E1772))</f>
        <v/>
      </c>
      <c r="R1772" t="str">
        <f>IF(L1772="","",6*AVERAGE($Q$7:Q1772))</f>
        <v/>
      </c>
    </row>
    <row r="1773" spans="6:18" x14ac:dyDescent="0.3">
      <c r="F1773" t="str">
        <f>IF(A1773="","",4*AVERAGE($E$7:E1773))</f>
        <v/>
      </c>
      <c r="R1773" t="str">
        <f>IF(L1773="","",6*AVERAGE($Q$7:Q1773))</f>
        <v/>
      </c>
    </row>
    <row r="1774" spans="6:18" x14ac:dyDescent="0.3">
      <c r="F1774" t="str">
        <f>IF(A1774="","",4*AVERAGE($E$7:E1774))</f>
        <v/>
      </c>
      <c r="R1774" t="str">
        <f>IF(L1774="","",6*AVERAGE($Q$7:Q1774))</f>
        <v/>
      </c>
    </row>
    <row r="1775" spans="6:18" x14ac:dyDescent="0.3">
      <c r="F1775" t="str">
        <f>IF(A1775="","",4*AVERAGE($E$7:E1775))</f>
        <v/>
      </c>
      <c r="R1775" t="str">
        <f>IF(L1775="","",6*AVERAGE($Q$7:Q1775))</f>
        <v/>
      </c>
    </row>
    <row r="1776" spans="6:18" x14ac:dyDescent="0.3">
      <c r="F1776" t="str">
        <f>IF(A1776="","",4*AVERAGE($E$7:E1776))</f>
        <v/>
      </c>
      <c r="R1776" t="str">
        <f>IF(L1776="","",6*AVERAGE($Q$7:Q1776))</f>
        <v/>
      </c>
    </row>
    <row r="1777" spans="6:18" x14ac:dyDescent="0.3">
      <c r="F1777" t="str">
        <f>IF(A1777="","",4*AVERAGE($E$7:E1777))</f>
        <v/>
      </c>
      <c r="R1777" t="str">
        <f>IF(L1777="","",6*AVERAGE($Q$7:Q1777))</f>
        <v/>
      </c>
    </row>
    <row r="1778" spans="6:18" x14ac:dyDescent="0.3">
      <c r="F1778" t="str">
        <f>IF(A1778="","",4*AVERAGE($E$7:E1778))</f>
        <v/>
      </c>
      <c r="R1778" t="str">
        <f>IF(L1778="","",6*AVERAGE($Q$7:Q1778))</f>
        <v/>
      </c>
    </row>
    <row r="1779" spans="6:18" x14ac:dyDescent="0.3">
      <c r="F1779" t="str">
        <f>IF(A1779="","",4*AVERAGE($E$7:E1779))</f>
        <v/>
      </c>
      <c r="R1779" t="str">
        <f>IF(L1779="","",6*AVERAGE($Q$7:Q1779))</f>
        <v/>
      </c>
    </row>
    <row r="1780" spans="6:18" x14ac:dyDescent="0.3">
      <c r="F1780" t="str">
        <f>IF(A1780="","",4*AVERAGE($E$7:E1780))</f>
        <v/>
      </c>
      <c r="R1780" t="str">
        <f>IF(L1780="","",6*AVERAGE($Q$7:Q1780))</f>
        <v/>
      </c>
    </row>
    <row r="1781" spans="6:18" x14ac:dyDescent="0.3">
      <c r="F1781" t="str">
        <f>IF(A1781="","",4*AVERAGE($E$7:E1781))</f>
        <v/>
      </c>
      <c r="R1781" t="str">
        <f>IF(L1781="","",6*AVERAGE($Q$7:Q1781))</f>
        <v/>
      </c>
    </row>
    <row r="1782" spans="6:18" x14ac:dyDescent="0.3">
      <c r="F1782" t="str">
        <f>IF(A1782="","",4*AVERAGE($E$7:E1782))</f>
        <v/>
      </c>
      <c r="R1782" t="str">
        <f>IF(L1782="","",6*AVERAGE($Q$7:Q1782))</f>
        <v/>
      </c>
    </row>
    <row r="1783" spans="6:18" x14ac:dyDescent="0.3">
      <c r="F1783" t="str">
        <f>IF(A1783="","",4*AVERAGE($E$7:E1783))</f>
        <v/>
      </c>
      <c r="R1783" t="str">
        <f>IF(L1783="","",6*AVERAGE($Q$7:Q1783))</f>
        <v/>
      </c>
    </row>
    <row r="1784" spans="6:18" x14ac:dyDescent="0.3">
      <c r="F1784" t="str">
        <f>IF(A1784="","",4*AVERAGE($E$7:E1784))</f>
        <v/>
      </c>
      <c r="R1784" t="str">
        <f>IF(L1784="","",6*AVERAGE($Q$7:Q1784))</f>
        <v/>
      </c>
    </row>
    <row r="1785" spans="6:18" x14ac:dyDescent="0.3">
      <c r="F1785" t="str">
        <f>IF(A1785="","",4*AVERAGE($E$7:E1785))</f>
        <v/>
      </c>
      <c r="R1785" t="str">
        <f>IF(L1785="","",6*AVERAGE($Q$7:Q1785))</f>
        <v/>
      </c>
    </row>
    <row r="1786" spans="6:18" x14ac:dyDescent="0.3">
      <c r="F1786" t="str">
        <f>IF(A1786="","",4*AVERAGE($E$7:E1786))</f>
        <v/>
      </c>
      <c r="R1786" t="str">
        <f>IF(L1786="","",6*AVERAGE($Q$7:Q1786))</f>
        <v/>
      </c>
    </row>
    <row r="1787" spans="6:18" x14ac:dyDescent="0.3">
      <c r="F1787" t="str">
        <f>IF(A1787="","",4*AVERAGE($E$7:E1787))</f>
        <v/>
      </c>
      <c r="R1787" t="str">
        <f>IF(L1787="","",6*AVERAGE($Q$7:Q1787))</f>
        <v/>
      </c>
    </row>
    <row r="1788" spans="6:18" x14ac:dyDescent="0.3">
      <c r="F1788" t="str">
        <f>IF(A1788="","",4*AVERAGE($E$7:E1788))</f>
        <v/>
      </c>
      <c r="R1788" t="str">
        <f>IF(L1788="","",6*AVERAGE($Q$7:Q1788))</f>
        <v/>
      </c>
    </row>
    <row r="1789" spans="6:18" x14ac:dyDescent="0.3">
      <c r="F1789" t="str">
        <f>IF(A1789="","",4*AVERAGE($E$7:E1789))</f>
        <v/>
      </c>
      <c r="R1789" t="str">
        <f>IF(L1789="","",6*AVERAGE($Q$7:Q1789))</f>
        <v/>
      </c>
    </row>
    <row r="1790" spans="6:18" x14ac:dyDescent="0.3">
      <c r="F1790" t="str">
        <f>IF(A1790="","",4*AVERAGE($E$7:E1790))</f>
        <v/>
      </c>
      <c r="R1790" t="str">
        <f>IF(L1790="","",6*AVERAGE($Q$7:Q1790))</f>
        <v/>
      </c>
    </row>
    <row r="1791" spans="6:18" x14ac:dyDescent="0.3">
      <c r="F1791" t="str">
        <f>IF(A1791="","",4*AVERAGE($E$7:E1791))</f>
        <v/>
      </c>
      <c r="R1791" t="str">
        <f>IF(L1791="","",6*AVERAGE($Q$7:Q1791))</f>
        <v/>
      </c>
    </row>
    <row r="1792" spans="6:18" x14ac:dyDescent="0.3">
      <c r="F1792" t="str">
        <f>IF(A1792="","",4*AVERAGE($E$7:E1792))</f>
        <v/>
      </c>
      <c r="R1792" t="str">
        <f>IF(L1792="","",6*AVERAGE($Q$7:Q1792))</f>
        <v/>
      </c>
    </row>
    <row r="1793" spans="6:18" x14ac:dyDescent="0.3">
      <c r="F1793" t="str">
        <f>IF(A1793="","",4*AVERAGE($E$7:E1793))</f>
        <v/>
      </c>
      <c r="R1793" t="str">
        <f>IF(L1793="","",6*AVERAGE($Q$7:Q1793))</f>
        <v/>
      </c>
    </row>
    <row r="1794" spans="6:18" x14ac:dyDescent="0.3">
      <c r="F1794" t="str">
        <f>IF(A1794="","",4*AVERAGE($E$7:E1794))</f>
        <v/>
      </c>
      <c r="R1794" t="str">
        <f>IF(L1794="","",6*AVERAGE($Q$7:Q1794))</f>
        <v/>
      </c>
    </row>
    <row r="1795" spans="6:18" x14ac:dyDescent="0.3">
      <c r="F1795" t="str">
        <f>IF(A1795="","",4*AVERAGE($E$7:E1795))</f>
        <v/>
      </c>
      <c r="R1795" t="str">
        <f>IF(L1795="","",6*AVERAGE($Q$7:Q1795))</f>
        <v/>
      </c>
    </row>
    <row r="1796" spans="6:18" x14ac:dyDescent="0.3">
      <c r="F1796" t="str">
        <f>IF(A1796="","",4*AVERAGE($E$7:E1796))</f>
        <v/>
      </c>
      <c r="R1796" t="str">
        <f>IF(L1796="","",6*AVERAGE($Q$7:Q1796))</f>
        <v/>
      </c>
    </row>
    <row r="1797" spans="6:18" x14ac:dyDescent="0.3">
      <c r="F1797" t="str">
        <f>IF(A1797="","",4*AVERAGE($E$7:E1797))</f>
        <v/>
      </c>
      <c r="R1797" t="str">
        <f>IF(L1797="","",6*AVERAGE($Q$7:Q1797))</f>
        <v/>
      </c>
    </row>
    <row r="1798" spans="6:18" x14ac:dyDescent="0.3">
      <c r="F1798" t="str">
        <f>IF(A1798="","",4*AVERAGE($E$7:E1798))</f>
        <v/>
      </c>
      <c r="R1798" t="str">
        <f>IF(L1798="","",6*AVERAGE($Q$7:Q1798))</f>
        <v/>
      </c>
    </row>
    <row r="1799" spans="6:18" x14ac:dyDescent="0.3">
      <c r="F1799" t="str">
        <f>IF(A1799="","",4*AVERAGE($E$7:E1799))</f>
        <v/>
      </c>
      <c r="R1799" t="str">
        <f>IF(L1799="","",6*AVERAGE($Q$7:Q1799))</f>
        <v/>
      </c>
    </row>
    <row r="1800" spans="6:18" x14ac:dyDescent="0.3">
      <c r="F1800" t="str">
        <f>IF(A1800="","",4*AVERAGE($E$7:E1800))</f>
        <v/>
      </c>
      <c r="R1800" t="str">
        <f>IF(L1800="","",6*AVERAGE($Q$7:Q1800))</f>
        <v/>
      </c>
    </row>
    <row r="1801" spans="6:18" x14ac:dyDescent="0.3">
      <c r="F1801" t="str">
        <f>IF(A1801="","",4*AVERAGE($E$7:E1801))</f>
        <v/>
      </c>
      <c r="R1801" t="str">
        <f>IF(L1801="","",6*AVERAGE($Q$7:Q1801))</f>
        <v/>
      </c>
    </row>
    <row r="1802" spans="6:18" x14ac:dyDescent="0.3">
      <c r="F1802" t="str">
        <f>IF(A1802="","",4*AVERAGE($E$7:E1802))</f>
        <v/>
      </c>
      <c r="R1802" t="str">
        <f>IF(L1802="","",6*AVERAGE($Q$7:Q1802))</f>
        <v/>
      </c>
    </row>
    <row r="1803" spans="6:18" x14ac:dyDescent="0.3">
      <c r="F1803" t="str">
        <f>IF(A1803="","",4*AVERAGE($E$7:E1803))</f>
        <v/>
      </c>
      <c r="R1803" t="str">
        <f>IF(L1803="","",6*AVERAGE($Q$7:Q1803))</f>
        <v/>
      </c>
    </row>
    <row r="1804" spans="6:18" x14ac:dyDescent="0.3">
      <c r="F1804" t="str">
        <f>IF(A1804="","",4*AVERAGE($E$7:E1804))</f>
        <v/>
      </c>
      <c r="R1804" t="str">
        <f>IF(L1804="","",6*AVERAGE($Q$7:Q1804))</f>
        <v/>
      </c>
    </row>
    <row r="1805" spans="6:18" x14ac:dyDescent="0.3">
      <c r="F1805" t="str">
        <f>IF(A1805="","",4*AVERAGE($E$7:E1805))</f>
        <v/>
      </c>
      <c r="R1805" t="str">
        <f>IF(L1805="","",6*AVERAGE($Q$7:Q1805))</f>
        <v/>
      </c>
    </row>
    <row r="1806" spans="6:18" x14ac:dyDescent="0.3">
      <c r="F1806" t="str">
        <f>IF(A1806="","",4*AVERAGE($E$7:E1806))</f>
        <v/>
      </c>
      <c r="R1806" t="str">
        <f>IF(L1806="","",6*AVERAGE($Q$7:Q1806))</f>
        <v/>
      </c>
    </row>
    <row r="1807" spans="6:18" x14ac:dyDescent="0.3">
      <c r="F1807" t="str">
        <f>IF(A1807="","",4*AVERAGE($E$7:E1807))</f>
        <v/>
      </c>
      <c r="R1807" t="str">
        <f>IF(L1807="","",6*AVERAGE($Q$7:Q1807))</f>
        <v/>
      </c>
    </row>
    <row r="1808" spans="6:18" x14ac:dyDescent="0.3">
      <c r="F1808" t="str">
        <f>IF(A1808="","",4*AVERAGE($E$7:E1808))</f>
        <v/>
      </c>
      <c r="R1808" t="str">
        <f>IF(L1808="","",6*AVERAGE($Q$7:Q1808))</f>
        <v/>
      </c>
    </row>
    <row r="1809" spans="6:18" x14ac:dyDescent="0.3">
      <c r="F1809" t="str">
        <f>IF(A1809="","",4*AVERAGE($E$7:E1809))</f>
        <v/>
      </c>
      <c r="R1809" t="str">
        <f>IF(L1809="","",6*AVERAGE($Q$7:Q1809))</f>
        <v/>
      </c>
    </row>
    <row r="1810" spans="6:18" x14ac:dyDescent="0.3">
      <c r="F1810" t="str">
        <f>IF(A1810="","",4*AVERAGE($E$7:E1810))</f>
        <v/>
      </c>
      <c r="R1810" t="str">
        <f>IF(L1810="","",6*AVERAGE($Q$7:Q1810))</f>
        <v/>
      </c>
    </row>
    <row r="1811" spans="6:18" x14ac:dyDescent="0.3">
      <c r="F1811" t="str">
        <f>IF(A1811="","",4*AVERAGE($E$7:E1811))</f>
        <v/>
      </c>
      <c r="R1811" t="str">
        <f>IF(L1811="","",6*AVERAGE($Q$7:Q1811))</f>
        <v/>
      </c>
    </row>
    <row r="1812" spans="6:18" x14ac:dyDescent="0.3">
      <c r="F1812" t="str">
        <f>IF(A1812="","",4*AVERAGE($E$7:E1812))</f>
        <v/>
      </c>
      <c r="R1812" t="str">
        <f>IF(L1812="","",6*AVERAGE($Q$7:Q1812))</f>
        <v/>
      </c>
    </row>
    <row r="1813" spans="6:18" x14ac:dyDescent="0.3">
      <c r="F1813" t="str">
        <f>IF(A1813="","",4*AVERAGE($E$7:E1813))</f>
        <v/>
      </c>
      <c r="R1813" t="str">
        <f>IF(L1813="","",6*AVERAGE($Q$7:Q1813))</f>
        <v/>
      </c>
    </row>
    <row r="1814" spans="6:18" x14ac:dyDescent="0.3">
      <c r="F1814" t="str">
        <f>IF(A1814="","",4*AVERAGE($E$7:E1814))</f>
        <v/>
      </c>
      <c r="R1814" t="str">
        <f>IF(L1814="","",6*AVERAGE($Q$7:Q1814))</f>
        <v/>
      </c>
    </row>
    <row r="1815" spans="6:18" x14ac:dyDescent="0.3">
      <c r="F1815" t="str">
        <f>IF(A1815="","",4*AVERAGE($E$7:E1815))</f>
        <v/>
      </c>
      <c r="R1815" t="str">
        <f>IF(L1815="","",6*AVERAGE($Q$7:Q1815))</f>
        <v/>
      </c>
    </row>
    <row r="1816" spans="6:18" x14ac:dyDescent="0.3">
      <c r="F1816" t="str">
        <f>IF(A1816="","",4*AVERAGE($E$7:E1816))</f>
        <v/>
      </c>
      <c r="R1816" t="str">
        <f>IF(L1816="","",6*AVERAGE($Q$7:Q1816))</f>
        <v/>
      </c>
    </row>
    <row r="1817" spans="6:18" x14ac:dyDescent="0.3">
      <c r="F1817" t="str">
        <f>IF(A1817="","",4*AVERAGE($E$7:E1817))</f>
        <v/>
      </c>
      <c r="R1817" t="str">
        <f>IF(L1817="","",6*AVERAGE($Q$7:Q1817))</f>
        <v/>
      </c>
    </row>
    <row r="1818" spans="6:18" x14ac:dyDescent="0.3">
      <c r="F1818" t="str">
        <f>IF(A1818="","",4*AVERAGE($E$7:E1818))</f>
        <v/>
      </c>
      <c r="R1818" t="str">
        <f>IF(L1818="","",6*AVERAGE($Q$7:Q1818))</f>
        <v/>
      </c>
    </row>
    <row r="1819" spans="6:18" x14ac:dyDescent="0.3">
      <c r="F1819" t="str">
        <f>IF(A1819="","",4*AVERAGE($E$7:E1819))</f>
        <v/>
      </c>
      <c r="R1819" t="str">
        <f>IF(L1819="","",6*AVERAGE($Q$7:Q1819))</f>
        <v/>
      </c>
    </row>
    <row r="1820" spans="6:18" x14ac:dyDescent="0.3">
      <c r="F1820" t="str">
        <f>IF(A1820="","",4*AVERAGE($E$7:E1820))</f>
        <v/>
      </c>
      <c r="R1820" t="str">
        <f>IF(L1820="","",6*AVERAGE($Q$7:Q1820))</f>
        <v/>
      </c>
    </row>
    <row r="1821" spans="6:18" x14ac:dyDescent="0.3">
      <c r="F1821" t="str">
        <f>IF(A1821="","",4*AVERAGE($E$7:E1821))</f>
        <v/>
      </c>
      <c r="R1821" t="str">
        <f>IF(L1821="","",6*AVERAGE($Q$7:Q1821))</f>
        <v/>
      </c>
    </row>
    <row r="1822" spans="6:18" x14ac:dyDescent="0.3">
      <c r="F1822" t="str">
        <f>IF(A1822="","",4*AVERAGE($E$7:E1822))</f>
        <v/>
      </c>
      <c r="R1822" t="str">
        <f>IF(L1822="","",6*AVERAGE($Q$7:Q1822))</f>
        <v/>
      </c>
    </row>
    <row r="1823" spans="6:18" x14ac:dyDescent="0.3">
      <c r="F1823" t="str">
        <f>IF(A1823="","",4*AVERAGE($E$7:E1823))</f>
        <v/>
      </c>
      <c r="R1823" t="str">
        <f>IF(L1823="","",6*AVERAGE($Q$7:Q1823))</f>
        <v/>
      </c>
    </row>
    <row r="1824" spans="6:18" x14ac:dyDescent="0.3">
      <c r="F1824" t="str">
        <f>IF(A1824="","",4*AVERAGE($E$7:E1824))</f>
        <v/>
      </c>
      <c r="R1824" t="str">
        <f>IF(L1824="","",6*AVERAGE($Q$7:Q1824))</f>
        <v/>
      </c>
    </row>
    <row r="1825" spans="6:18" x14ac:dyDescent="0.3">
      <c r="F1825" t="str">
        <f>IF(A1825="","",4*AVERAGE($E$7:E1825))</f>
        <v/>
      </c>
      <c r="R1825" t="str">
        <f>IF(L1825="","",6*AVERAGE($Q$7:Q1825))</f>
        <v/>
      </c>
    </row>
    <row r="1826" spans="6:18" x14ac:dyDescent="0.3">
      <c r="F1826" t="str">
        <f>IF(A1826="","",4*AVERAGE($E$7:E1826))</f>
        <v/>
      </c>
      <c r="R1826" t="str">
        <f>IF(L1826="","",6*AVERAGE($Q$7:Q1826))</f>
        <v/>
      </c>
    </row>
    <row r="1827" spans="6:18" x14ac:dyDescent="0.3">
      <c r="F1827" t="str">
        <f>IF(A1827="","",4*AVERAGE($E$7:E1827))</f>
        <v/>
      </c>
      <c r="R1827" t="str">
        <f>IF(L1827="","",6*AVERAGE($Q$7:Q1827))</f>
        <v/>
      </c>
    </row>
    <row r="1828" spans="6:18" x14ac:dyDescent="0.3">
      <c r="F1828" t="str">
        <f>IF(A1828="","",4*AVERAGE($E$7:E1828))</f>
        <v/>
      </c>
      <c r="R1828" t="str">
        <f>IF(L1828="","",6*AVERAGE($Q$7:Q1828))</f>
        <v/>
      </c>
    </row>
    <row r="1829" spans="6:18" x14ac:dyDescent="0.3">
      <c r="F1829" t="str">
        <f>IF(A1829="","",4*AVERAGE($E$7:E1829))</f>
        <v/>
      </c>
      <c r="R1829" t="str">
        <f>IF(L1829="","",6*AVERAGE($Q$7:Q1829))</f>
        <v/>
      </c>
    </row>
    <row r="1830" spans="6:18" x14ac:dyDescent="0.3">
      <c r="F1830" t="str">
        <f>IF(A1830="","",4*AVERAGE($E$7:E1830))</f>
        <v/>
      </c>
      <c r="R1830" t="str">
        <f>IF(L1830="","",6*AVERAGE($Q$7:Q1830))</f>
        <v/>
      </c>
    </row>
    <row r="1831" spans="6:18" x14ac:dyDescent="0.3">
      <c r="F1831" t="str">
        <f>IF(A1831="","",4*AVERAGE($E$7:E1831))</f>
        <v/>
      </c>
      <c r="R1831" t="str">
        <f>IF(L1831="","",6*AVERAGE($Q$7:Q1831))</f>
        <v/>
      </c>
    </row>
    <row r="1832" spans="6:18" x14ac:dyDescent="0.3">
      <c r="F1832" t="str">
        <f>IF(A1832="","",4*AVERAGE($E$7:E1832))</f>
        <v/>
      </c>
      <c r="R1832" t="str">
        <f>IF(L1832="","",6*AVERAGE($Q$7:Q1832))</f>
        <v/>
      </c>
    </row>
    <row r="1833" spans="6:18" x14ac:dyDescent="0.3">
      <c r="F1833" t="str">
        <f>IF(A1833="","",4*AVERAGE($E$7:E1833))</f>
        <v/>
      </c>
      <c r="R1833" t="str">
        <f>IF(L1833="","",6*AVERAGE($Q$7:Q1833))</f>
        <v/>
      </c>
    </row>
    <row r="1834" spans="6:18" x14ac:dyDescent="0.3">
      <c r="F1834" t="str">
        <f>IF(A1834="","",4*AVERAGE($E$7:E1834))</f>
        <v/>
      </c>
      <c r="R1834" t="str">
        <f>IF(L1834="","",6*AVERAGE($Q$7:Q1834))</f>
        <v/>
      </c>
    </row>
    <row r="1835" spans="6:18" x14ac:dyDescent="0.3">
      <c r="F1835" t="str">
        <f>IF(A1835="","",4*AVERAGE($E$7:E1835))</f>
        <v/>
      </c>
      <c r="R1835" t="str">
        <f>IF(L1835="","",6*AVERAGE($Q$7:Q1835))</f>
        <v/>
      </c>
    </row>
    <row r="1836" spans="6:18" x14ac:dyDescent="0.3">
      <c r="F1836" t="str">
        <f>IF(A1836="","",4*AVERAGE($E$7:E1836))</f>
        <v/>
      </c>
      <c r="R1836" t="str">
        <f>IF(L1836="","",6*AVERAGE($Q$7:Q1836))</f>
        <v/>
      </c>
    </row>
    <row r="1837" spans="6:18" x14ac:dyDescent="0.3">
      <c r="F1837" t="str">
        <f>IF(A1837="","",4*AVERAGE($E$7:E1837))</f>
        <v/>
      </c>
      <c r="R1837" t="str">
        <f>IF(L1837="","",6*AVERAGE($Q$7:Q1837))</f>
        <v/>
      </c>
    </row>
    <row r="1838" spans="6:18" x14ac:dyDescent="0.3">
      <c r="F1838" t="str">
        <f>IF(A1838="","",4*AVERAGE($E$7:E1838))</f>
        <v/>
      </c>
      <c r="R1838" t="str">
        <f>IF(L1838="","",6*AVERAGE($Q$7:Q1838))</f>
        <v/>
      </c>
    </row>
    <row r="1839" spans="6:18" x14ac:dyDescent="0.3">
      <c r="F1839" t="str">
        <f>IF(A1839="","",4*AVERAGE($E$7:E1839))</f>
        <v/>
      </c>
      <c r="R1839" t="str">
        <f>IF(L1839="","",6*AVERAGE($Q$7:Q1839))</f>
        <v/>
      </c>
    </row>
    <row r="1840" spans="6:18" x14ac:dyDescent="0.3">
      <c r="F1840" t="str">
        <f>IF(A1840="","",4*AVERAGE($E$7:E1840))</f>
        <v/>
      </c>
      <c r="R1840" t="str">
        <f>IF(L1840="","",6*AVERAGE($Q$7:Q1840))</f>
        <v/>
      </c>
    </row>
    <row r="1841" spans="6:18" x14ac:dyDescent="0.3">
      <c r="F1841" t="str">
        <f>IF(A1841="","",4*AVERAGE($E$7:E1841))</f>
        <v/>
      </c>
      <c r="R1841" t="str">
        <f>IF(L1841="","",6*AVERAGE($Q$7:Q1841))</f>
        <v/>
      </c>
    </row>
    <row r="1842" spans="6:18" x14ac:dyDescent="0.3">
      <c r="F1842" t="str">
        <f>IF(A1842="","",4*AVERAGE($E$7:E1842))</f>
        <v/>
      </c>
      <c r="R1842" t="str">
        <f>IF(L1842="","",6*AVERAGE($Q$7:Q1842))</f>
        <v/>
      </c>
    </row>
    <row r="1843" spans="6:18" x14ac:dyDescent="0.3">
      <c r="F1843" t="str">
        <f>IF(A1843="","",4*AVERAGE($E$7:E1843))</f>
        <v/>
      </c>
      <c r="R1843" t="str">
        <f>IF(L1843="","",6*AVERAGE($Q$7:Q1843))</f>
        <v/>
      </c>
    </row>
    <row r="1844" spans="6:18" x14ac:dyDescent="0.3">
      <c r="F1844" t="str">
        <f>IF(A1844="","",4*AVERAGE($E$7:E1844))</f>
        <v/>
      </c>
      <c r="R1844" t="str">
        <f>IF(L1844="","",6*AVERAGE($Q$7:Q1844))</f>
        <v/>
      </c>
    </row>
    <row r="1845" spans="6:18" x14ac:dyDescent="0.3">
      <c r="F1845" t="str">
        <f>IF(A1845="","",4*AVERAGE($E$7:E1845))</f>
        <v/>
      </c>
      <c r="R1845" t="str">
        <f>IF(L1845="","",6*AVERAGE($Q$7:Q1845))</f>
        <v/>
      </c>
    </row>
    <row r="1846" spans="6:18" x14ac:dyDescent="0.3">
      <c r="F1846" t="str">
        <f>IF(A1846="","",4*AVERAGE($E$7:E1846))</f>
        <v/>
      </c>
      <c r="R1846" t="str">
        <f>IF(L1846="","",6*AVERAGE($Q$7:Q1846))</f>
        <v/>
      </c>
    </row>
    <row r="1847" spans="6:18" x14ac:dyDescent="0.3">
      <c r="F1847" t="str">
        <f>IF(A1847="","",4*AVERAGE($E$7:E1847))</f>
        <v/>
      </c>
      <c r="R1847" t="str">
        <f>IF(L1847="","",6*AVERAGE($Q$7:Q1847))</f>
        <v/>
      </c>
    </row>
    <row r="1848" spans="6:18" x14ac:dyDescent="0.3">
      <c r="F1848" t="str">
        <f>IF(A1848="","",4*AVERAGE($E$7:E1848))</f>
        <v/>
      </c>
      <c r="R1848" t="str">
        <f>IF(L1848="","",6*AVERAGE($Q$7:Q1848))</f>
        <v/>
      </c>
    </row>
    <row r="1849" spans="6:18" x14ac:dyDescent="0.3">
      <c r="F1849" t="str">
        <f>IF(A1849="","",4*AVERAGE($E$7:E1849))</f>
        <v/>
      </c>
      <c r="R1849" t="str">
        <f>IF(L1849="","",6*AVERAGE($Q$7:Q1849))</f>
        <v/>
      </c>
    </row>
    <row r="1850" spans="6:18" x14ac:dyDescent="0.3">
      <c r="F1850" t="str">
        <f>IF(A1850="","",4*AVERAGE($E$7:E1850))</f>
        <v/>
      </c>
      <c r="R1850" t="str">
        <f>IF(L1850="","",6*AVERAGE($Q$7:Q1850))</f>
        <v/>
      </c>
    </row>
    <row r="1851" spans="6:18" x14ac:dyDescent="0.3">
      <c r="F1851" t="str">
        <f>IF(A1851="","",4*AVERAGE($E$7:E1851))</f>
        <v/>
      </c>
      <c r="R1851" t="str">
        <f>IF(L1851="","",6*AVERAGE($Q$7:Q1851))</f>
        <v/>
      </c>
    </row>
    <row r="1852" spans="6:18" x14ac:dyDescent="0.3">
      <c r="F1852" t="str">
        <f>IF(A1852="","",4*AVERAGE($E$7:E1852))</f>
        <v/>
      </c>
      <c r="R1852" t="str">
        <f>IF(L1852="","",6*AVERAGE($Q$7:Q1852))</f>
        <v/>
      </c>
    </row>
    <row r="1853" spans="6:18" x14ac:dyDescent="0.3">
      <c r="F1853" t="str">
        <f>IF(A1853="","",4*AVERAGE($E$7:E1853))</f>
        <v/>
      </c>
      <c r="R1853" t="str">
        <f>IF(L1853="","",6*AVERAGE($Q$7:Q1853))</f>
        <v/>
      </c>
    </row>
    <row r="1854" spans="6:18" x14ac:dyDescent="0.3">
      <c r="F1854" t="str">
        <f>IF(A1854="","",4*AVERAGE($E$7:E1854))</f>
        <v/>
      </c>
      <c r="R1854" t="str">
        <f>IF(L1854="","",6*AVERAGE($Q$7:Q1854))</f>
        <v/>
      </c>
    </row>
    <row r="1855" spans="6:18" x14ac:dyDescent="0.3">
      <c r="F1855" t="str">
        <f>IF(A1855="","",4*AVERAGE($E$7:E1855))</f>
        <v/>
      </c>
      <c r="R1855" t="str">
        <f>IF(L1855="","",6*AVERAGE($Q$7:Q1855))</f>
        <v/>
      </c>
    </row>
    <row r="1856" spans="6:18" x14ac:dyDescent="0.3">
      <c r="F1856" t="str">
        <f>IF(A1856="","",4*AVERAGE($E$7:E1856))</f>
        <v/>
      </c>
      <c r="R1856" t="str">
        <f>IF(L1856="","",6*AVERAGE($Q$7:Q1856))</f>
        <v/>
      </c>
    </row>
    <row r="1857" spans="6:18" x14ac:dyDescent="0.3">
      <c r="F1857" t="str">
        <f>IF(A1857="","",4*AVERAGE($E$7:E1857))</f>
        <v/>
      </c>
      <c r="R1857" t="str">
        <f>IF(L1857="","",6*AVERAGE($Q$7:Q1857))</f>
        <v/>
      </c>
    </row>
    <row r="1858" spans="6:18" x14ac:dyDescent="0.3">
      <c r="F1858" t="str">
        <f>IF(A1858="","",4*AVERAGE($E$7:E1858))</f>
        <v/>
      </c>
      <c r="R1858" t="str">
        <f>IF(L1858="","",6*AVERAGE($Q$7:Q1858))</f>
        <v/>
      </c>
    </row>
    <row r="1859" spans="6:18" x14ac:dyDescent="0.3">
      <c r="F1859" t="str">
        <f>IF(A1859="","",4*AVERAGE($E$7:E1859))</f>
        <v/>
      </c>
      <c r="R1859" t="str">
        <f>IF(L1859="","",6*AVERAGE($Q$7:Q1859))</f>
        <v/>
      </c>
    </row>
    <row r="1860" spans="6:18" x14ac:dyDescent="0.3">
      <c r="F1860" t="str">
        <f>IF(A1860="","",4*AVERAGE($E$7:E1860))</f>
        <v/>
      </c>
      <c r="R1860" t="str">
        <f>IF(L1860="","",6*AVERAGE($Q$7:Q1860))</f>
        <v/>
      </c>
    </row>
    <row r="1861" spans="6:18" x14ac:dyDescent="0.3">
      <c r="F1861" t="str">
        <f>IF(A1861="","",4*AVERAGE($E$7:E1861))</f>
        <v/>
      </c>
      <c r="R1861" t="str">
        <f>IF(L1861="","",6*AVERAGE($Q$7:Q1861))</f>
        <v/>
      </c>
    </row>
    <row r="1862" spans="6:18" x14ac:dyDescent="0.3">
      <c r="F1862" t="str">
        <f>IF(A1862="","",4*AVERAGE($E$7:E1862))</f>
        <v/>
      </c>
      <c r="R1862" t="str">
        <f>IF(L1862="","",6*AVERAGE($Q$7:Q1862))</f>
        <v/>
      </c>
    </row>
    <row r="1863" spans="6:18" x14ac:dyDescent="0.3">
      <c r="F1863" t="str">
        <f>IF(A1863="","",4*AVERAGE($E$7:E1863))</f>
        <v/>
      </c>
      <c r="R1863" t="str">
        <f>IF(L1863="","",6*AVERAGE($Q$7:Q1863))</f>
        <v/>
      </c>
    </row>
    <row r="1864" spans="6:18" x14ac:dyDescent="0.3">
      <c r="F1864" t="str">
        <f>IF(A1864="","",4*AVERAGE($E$7:E1864))</f>
        <v/>
      </c>
      <c r="R1864" t="str">
        <f>IF(L1864="","",6*AVERAGE($Q$7:Q1864))</f>
        <v/>
      </c>
    </row>
    <row r="1865" spans="6:18" x14ac:dyDescent="0.3">
      <c r="F1865" t="str">
        <f>IF(A1865="","",4*AVERAGE($E$7:E1865))</f>
        <v/>
      </c>
      <c r="R1865" t="str">
        <f>IF(L1865="","",6*AVERAGE($Q$7:Q1865))</f>
        <v/>
      </c>
    </row>
    <row r="1866" spans="6:18" x14ac:dyDescent="0.3">
      <c r="F1866" t="str">
        <f>IF(A1866="","",4*AVERAGE($E$7:E1866))</f>
        <v/>
      </c>
      <c r="R1866" t="str">
        <f>IF(L1866="","",6*AVERAGE($Q$7:Q1866))</f>
        <v/>
      </c>
    </row>
    <row r="1867" spans="6:18" x14ac:dyDescent="0.3">
      <c r="F1867" t="str">
        <f>IF(A1867="","",4*AVERAGE($E$7:E1867))</f>
        <v/>
      </c>
      <c r="R1867" t="str">
        <f>IF(L1867="","",6*AVERAGE($Q$7:Q1867))</f>
        <v/>
      </c>
    </row>
    <row r="1868" spans="6:18" x14ac:dyDescent="0.3">
      <c r="F1868" t="str">
        <f>IF(A1868="","",4*AVERAGE($E$7:E1868))</f>
        <v/>
      </c>
      <c r="R1868" t="str">
        <f>IF(L1868="","",6*AVERAGE($Q$7:Q1868))</f>
        <v/>
      </c>
    </row>
    <row r="1869" spans="6:18" x14ac:dyDescent="0.3">
      <c r="F1869" t="str">
        <f>IF(A1869="","",4*AVERAGE($E$7:E1869))</f>
        <v/>
      </c>
      <c r="R1869" t="str">
        <f>IF(L1869="","",6*AVERAGE($Q$7:Q1869))</f>
        <v/>
      </c>
    </row>
    <row r="1870" spans="6:18" x14ac:dyDescent="0.3">
      <c r="F1870" t="str">
        <f>IF(A1870="","",4*AVERAGE($E$7:E1870))</f>
        <v/>
      </c>
      <c r="R1870" t="str">
        <f>IF(L1870="","",6*AVERAGE($Q$7:Q1870))</f>
        <v/>
      </c>
    </row>
    <row r="1871" spans="6:18" x14ac:dyDescent="0.3">
      <c r="F1871" t="str">
        <f>IF(A1871="","",4*AVERAGE($E$7:E1871))</f>
        <v/>
      </c>
      <c r="R1871" t="str">
        <f>IF(L1871="","",6*AVERAGE($Q$7:Q1871))</f>
        <v/>
      </c>
    </row>
    <row r="1872" spans="6:18" x14ac:dyDescent="0.3">
      <c r="F1872" t="str">
        <f>IF(A1872="","",4*AVERAGE($E$7:E1872))</f>
        <v/>
      </c>
      <c r="R1872" t="str">
        <f>IF(L1872="","",6*AVERAGE($Q$7:Q1872))</f>
        <v/>
      </c>
    </row>
    <row r="1873" spans="6:18" x14ac:dyDescent="0.3">
      <c r="F1873" t="str">
        <f>IF(A1873="","",4*AVERAGE($E$7:E1873))</f>
        <v/>
      </c>
      <c r="R1873" t="str">
        <f>IF(L1873="","",6*AVERAGE($Q$7:Q1873))</f>
        <v/>
      </c>
    </row>
    <row r="1874" spans="6:18" x14ac:dyDescent="0.3">
      <c r="F1874" t="str">
        <f>IF(A1874="","",4*AVERAGE($E$7:E1874))</f>
        <v/>
      </c>
      <c r="R1874" t="str">
        <f>IF(L1874="","",6*AVERAGE($Q$7:Q1874))</f>
        <v/>
      </c>
    </row>
    <row r="1875" spans="6:18" x14ac:dyDescent="0.3">
      <c r="F1875" t="str">
        <f>IF(A1875="","",4*AVERAGE($E$7:E1875))</f>
        <v/>
      </c>
      <c r="R1875" t="str">
        <f>IF(L1875="","",6*AVERAGE($Q$7:Q1875))</f>
        <v/>
      </c>
    </row>
    <row r="1876" spans="6:18" x14ac:dyDescent="0.3">
      <c r="F1876" t="str">
        <f>IF(A1876="","",4*AVERAGE($E$7:E1876))</f>
        <v/>
      </c>
      <c r="R1876" t="str">
        <f>IF(L1876="","",6*AVERAGE($Q$7:Q1876))</f>
        <v/>
      </c>
    </row>
    <row r="1877" spans="6:18" x14ac:dyDescent="0.3">
      <c r="F1877" t="str">
        <f>IF(A1877="","",4*AVERAGE($E$7:E1877))</f>
        <v/>
      </c>
      <c r="R1877" t="str">
        <f>IF(L1877="","",6*AVERAGE($Q$7:Q1877))</f>
        <v/>
      </c>
    </row>
    <row r="1878" spans="6:18" x14ac:dyDescent="0.3">
      <c r="F1878" t="str">
        <f>IF(A1878="","",4*AVERAGE($E$7:E1878))</f>
        <v/>
      </c>
      <c r="R1878" t="str">
        <f>IF(L1878="","",6*AVERAGE($Q$7:Q1878))</f>
        <v/>
      </c>
    </row>
    <row r="1879" spans="6:18" x14ac:dyDescent="0.3">
      <c r="F1879" t="str">
        <f>IF(A1879="","",4*AVERAGE($E$7:E1879))</f>
        <v/>
      </c>
      <c r="R1879" t="str">
        <f>IF(L1879="","",6*AVERAGE($Q$7:Q1879))</f>
        <v/>
      </c>
    </row>
    <row r="1880" spans="6:18" x14ac:dyDescent="0.3">
      <c r="F1880" t="str">
        <f>IF(A1880="","",4*AVERAGE($E$7:E1880))</f>
        <v/>
      </c>
      <c r="R1880" t="str">
        <f>IF(L1880="","",6*AVERAGE($Q$7:Q1880))</f>
        <v/>
      </c>
    </row>
    <row r="1881" spans="6:18" x14ac:dyDescent="0.3">
      <c r="F1881" t="str">
        <f>IF(A1881="","",4*AVERAGE($E$7:E1881))</f>
        <v/>
      </c>
      <c r="R1881" t="str">
        <f>IF(L1881="","",6*AVERAGE($Q$7:Q1881))</f>
        <v/>
      </c>
    </row>
    <row r="1882" spans="6:18" x14ac:dyDescent="0.3">
      <c r="F1882" t="str">
        <f>IF(A1882="","",4*AVERAGE($E$7:E1882))</f>
        <v/>
      </c>
      <c r="R1882" t="str">
        <f>IF(L1882="","",6*AVERAGE($Q$7:Q1882))</f>
        <v/>
      </c>
    </row>
    <row r="1883" spans="6:18" x14ac:dyDescent="0.3">
      <c r="F1883" t="str">
        <f>IF(A1883="","",4*AVERAGE($E$7:E1883))</f>
        <v/>
      </c>
      <c r="R1883" t="str">
        <f>IF(L1883="","",6*AVERAGE($Q$7:Q1883))</f>
        <v/>
      </c>
    </row>
    <row r="1884" spans="6:18" x14ac:dyDescent="0.3">
      <c r="F1884" t="str">
        <f>IF(A1884="","",4*AVERAGE($E$7:E1884))</f>
        <v/>
      </c>
      <c r="R1884" t="str">
        <f>IF(L1884="","",6*AVERAGE($Q$7:Q1884))</f>
        <v/>
      </c>
    </row>
    <row r="1885" spans="6:18" x14ac:dyDescent="0.3">
      <c r="F1885" t="str">
        <f>IF(A1885="","",4*AVERAGE($E$7:E1885))</f>
        <v/>
      </c>
      <c r="R1885" t="str">
        <f>IF(L1885="","",6*AVERAGE($Q$7:Q1885))</f>
        <v/>
      </c>
    </row>
    <row r="1886" spans="6:18" x14ac:dyDescent="0.3">
      <c r="F1886" t="str">
        <f>IF(A1886="","",4*AVERAGE($E$7:E1886))</f>
        <v/>
      </c>
      <c r="R1886" t="str">
        <f>IF(L1886="","",6*AVERAGE($Q$7:Q1886))</f>
        <v/>
      </c>
    </row>
    <row r="1887" spans="6:18" x14ac:dyDescent="0.3">
      <c r="F1887" t="str">
        <f>IF(A1887="","",4*AVERAGE($E$7:E1887))</f>
        <v/>
      </c>
      <c r="R1887" t="str">
        <f>IF(L1887="","",6*AVERAGE($Q$7:Q1887))</f>
        <v/>
      </c>
    </row>
    <row r="1888" spans="6:18" x14ac:dyDescent="0.3">
      <c r="F1888" t="str">
        <f>IF(A1888="","",4*AVERAGE($E$7:E1888))</f>
        <v/>
      </c>
      <c r="R1888" t="str">
        <f>IF(L1888="","",6*AVERAGE($Q$7:Q1888))</f>
        <v/>
      </c>
    </row>
    <row r="1889" spans="6:18" x14ac:dyDescent="0.3">
      <c r="F1889" t="str">
        <f>IF(A1889="","",4*AVERAGE($E$7:E1889))</f>
        <v/>
      </c>
      <c r="R1889" t="str">
        <f>IF(L1889="","",6*AVERAGE($Q$7:Q1889))</f>
        <v/>
      </c>
    </row>
    <row r="1890" spans="6:18" x14ac:dyDescent="0.3">
      <c r="F1890" t="str">
        <f>IF(A1890="","",4*AVERAGE($E$7:E1890))</f>
        <v/>
      </c>
      <c r="R1890" t="str">
        <f>IF(L1890="","",6*AVERAGE($Q$7:Q1890))</f>
        <v/>
      </c>
    </row>
    <row r="1891" spans="6:18" x14ac:dyDescent="0.3">
      <c r="F1891" t="str">
        <f>IF(A1891="","",4*AVERAGE($E$7:E1891))</f>
        <v/>
      </c>
      <c r="R1891" t="str">
        <f>IF(L1891="","",6*AVERAGE($Q$7:Q1891))</f>
        <v/>
      </c>
    </row>
    <row r="1892" spans="6:18" x14ac:dyDescent="0.3">
      <c r="F1892" t="str">
        <f>IF(A1892="","",4*AVERAGE($E$7:E1892))</f>
        <v/>
      </c>
      <c r="R1892" t="str">
        <f>IF(L1892="","",6*AVERAGE($Q$7:Q1892))</f>
        <v/>
      </c>
    </row>
    <row r="1893" spans="6:18" x14ac:dyDescent="0.3">
      <c r="F1893" t="str">
        <f>IF(A1893="","",4*AVERAGE($E$7:E1893))</f>
        <v/>
      </c>
      <c r="R1893" t="str">
        <f>IF(L1893="","",6*AVERAGE($Q$7:Q1893))</f>
        <v/>
      </c>
    </row>
    <row r="1894" spans="6:18" x14ac:dyDescent="0.3">
      <c r="F1894" t="str">
        <f>IF(A1894="","",4*AVERAGE($E$7:E1894))</f>
        <v/>
      </c>
      <c r="R1894" t="str">
        <f>IF(L1894="","",6*AVERAGE($Q$7:Q1894))</f>
        <v/>
      </c>
    </row>
    <row r="1895" spans="6:18" x14ac:dyDescent="0.3">
      <c r="F1895" t="str">
        <f>IF(A1895="","",4*AVERAGE($E$7:E1895))</f>
        <v/>
      </c>
      <c r="R1895" t="str">
        <f>IF(L1895="","",6*AVERAGE($Q$7:Q1895))</f>
        <v/>
      </c>
    </row>
    <row r="1896" spans="6:18" x14ac:dyDescent="0.3">
      <c r="F1896" t="str">
        <f>IF(A1896="","",4*AVERAGE($E$7:E1896))</f>
        <v/>
      </c>
      <c r="R1896" t="str">
        <f>IF(L1896="","",6*AVERAGE($Q$7:Q1896))</f>
        <v/>
      </c>
    </row>
    <row r="1897" spans="6:18" x14ac:dyDescent="0.3">
      <c r="F1897" t="str">
        <f>IF(A1897="","",4*AVERAGE($E$7:E1897))</f>
        <v/>
      </c>
      <c r="R1897" t="str">
        <f>IF(L1897="","",6*AVERAGE($Q$7:Q1897))</f>
        <v/>
      </c>
    </row>
    <row r="1898" spans="6:18" x14ac:dyDescent="0.3">
      <c r="F1898" t="str">
        <f>IF(A1898="","",4*AVERAGE($E$7:E1898))</f>
        <v/>
      </c>
      <c r="R1898" t="str">
        <f>IF(L1898="","",6*AVERAGE($Q$7:Q1898))</f>
        <v/>
      </c>
    </row>
    <row r="1899" spans="6:18" x14ac:dyDescent="0.3">
      <c r="F1899" t="str">
        <f>IF(A1899="","",4*AVERAGE($E$7:E1899))</f>
        <v/>
      </c>
      <c r="R1899" t="str">
        <f>IF(L1899="","",6*AVERAGE($Q$7:Q1899))</f>
        <v/>
      </c>
    </row>
    <row r="1900" spans="6:18" x14ac:dyDescent="0.3">
      <c r="F1900" t="str">
        <f>IF(A1900="","",4*AVERAGE($E$7:E1900))</f>
        <v/>
      </c>
      <c r="R1900" t="str">
        <f>IF(L1900="","",6*AVERAGE($Q$7:Q1900))</f>
        <v/>
      </c>
    </row>
    <row r="1901" spans="6:18" x14ac:dyDescent="0.3">
      <c r="F1901" t="str">
        <f>IF(A1901="","",4*AVERAGE($E$7:E1901))</f>
        <v/>
      </c>
      <c r="R1901" t="str">
        <f>IF(L1901="","",6*AVERAGE($Q$7:Q1901))</f>
        <v/>
      </c>
    </row>
    <row r="1902" spans="6:18" x14ac:dyDescent="0.3">
      <c r="F1902" t="str">
        <f>IF(A1902="","",4*AVERAGE($E$7:E1902))</f>
        <v/>
      </c>
      <c r="R1902" t="str">
        <f>IF(L1902="","",6*AVERAGE($Q$7:Q1902))</f>
        <v/>
      </c>
    </row>
    <row r="1903" spans="6:18" x14ac:dyDescent="0.3">
      <c r="F1903" t="str">
        <f>IF(A1903="","",4*AVERAGE($E$7:E1903))</f>
        <v/>
      </c>
      <c r="R1903" t="str">
        <f>IF(L1903="","",6*AVERAGE($Q$7:Q1903))</f>
        <v/>
      </c>
    </row>
    <row r="1904" spans="6:18" x14ac:dyDescent="0.3">
      <c r="F1904" t="str">
        <f>IF(A1904="","",4*AVERAGE($E$7:E1904))</f>
        <v/>
      </c>
      <c r="R1904" t="str">
        <f>IF(L1904="","",6*AVERAGE($Q$7:Q1904))</f>
        <v/>
      </c>
    </row>
    <row r="1905" spans="6:18" x14ac:dyDescent="0.3">
      <c r="F1905" t="str">
        <f>IF(A1905="","",4*AVERAGE($E$7:E1905))</f>
        <v/>
      </c>
      <c r="R1905" t="str">
        <f>IF(L1905="","",6*AVERAGE($Q$7:Q1905))</f>
        <v/>
      </c>
    </row>
    <row r="1906" spans="6:18" x14ac:dyDescent="0.3">
      <c r="F1906" t="str">
        <f>IF(A1906="","",4*AVERAGE($E$7:E1906))</f>
        <v/>
      </c>
      <c r="R1906" t="str">
        <f>IF(L1906="","",6*AVERAGE($Q$7:Q1906))</f>
        <v/>
      </c>
    </row>
    <row r="1907" spans="6:18" x14ac:dyDescent="0.3">
      <c r="F1907" t="str">
        <f>IF(A1907="","",4*AVERAGE($E$7:E1907))</f>
        <v/>
      </c>
      <c r="R1907" t="str">
        <f>IF(L1907="","",6*AVERAGE($Q$7:Q1907))</f>
        <v/>
      </c>
    </row>
    <row r="1908" spans="6:18" x14ac:dyDescent="0.3">
      <c r="F1908" t="str">
        <f>IF(A1908="","",4*AVERAGE($E$7:E1908))</f>
        <v/>
      </c>
      <c r="R1908" t="str">
        <f>IF(L1908="","",6*AVERAGE($Q$7:Q1908))</f>
        <v/>
      </c>
    </row>
    <row r="1909" spans="6:18" x14ac:dyDescent="0.3">
      <c r="F1909" t="str">
        <f>IF(A1909="","",4*AVERAGE($E$7:E1909))</f>
        <v/>
      </c>
      <c r="R1909" t="str">
        <f>IF(L1909="","",6*AVERAGE($Q$7:Q1909))</f>
        <v/>
      </c>
    </row>
    <row r="1910" spans="6:18" x14ac:dyDescent="0.3">
      <c r="F1910" t="str">
        <f>IF(A1910="","",4*AVERAGE($E$7:E1910))</f>
        <v/>
      </c>
      <c r="R1910" t="str">
        <f>IF(L1910="","",6*AVERAGE($Q$7:Q1910))</f>
        <v/>
      </c>
    </row>
    <row r="1911" spans="6:18" x14ac:dyDescent="0.3">
      <c r="F1911" t="str">
        <f>IF(A1911="","",4*AVERAGE($E$7:E1911))</f>
        <v/>
      </c>
      <c r="R1911" t="str">
        <f>IF(L1911="","",6*AVERAGE($Q$7:Q1911))</f>
        <v/>
      </c>
    </row>
    <row r="1912" spans="6:18" x14ac:dyDescent="0.3">
      <c r="F1912" t="str">
        <f>IF(A1912="","",4*AVERAGE($E$7:E1912))</f>
        <v/>
      </c>
      <c r="R1912" t="str">
        <f>IF(L1912="","",6*AVERAGE($Q$7:Q1912))</f>
        <v/>
      </c>
    </row>
    <row r="1913" spans="6:18" x14ac:dyDescent="0.3">
      <c r="F1913" t="str">
        <f>IF(A1913="","",4*AVERAGE($E$7:E1913))</f>
        <v/>
      </c>
      <c r="R1913" t="str">
        <f>IF(L1913="","",6*AVERAGE($Q$7:Q1913))</f>
        <v/>
      </c>
    </row>
    <row r="1914" spans="6:18" x14ac:dyDescent="0.3">
      <c r="F1914" t="str">
        <f>IF(A1914="","",4*AVERAGE($E$7:E1914))</f>
        <v/>
      </c>
      <c r="R1914" t="str">
        <f>IF(L1914="","",6*AVERAGE($Q$7:Q1914))</f>
        <v/>
      </c>
    </row>
    <row r="1915" spans="6:18" x14ac:dyDescent="0.3">
      <c r="F1915" t="str">
        <f>IF(A1915="","",4*AVERAGE($E$7:E1915))</f>
        <v/>
      </c>
      <c r="R1915" t="str">
        <f>IF(L1915="","",6*AVERAGE($Q$7:Q1915))</f>
        <v/>
      </c>
    </row>
    <row r="1916" spans="6:18" x14ac:dyDescent="0.3">
      <c r="F1916" t="str">
        <f>IF(A1916="","",4*AVERAGE($E$7:E1916))</f>
        <v/>
      </c>
      <c r="R1916" t="str">
        <f>IF(L1916="","",6*AVERAGE($Q$7:Q1916))</f>
        <v/>
      </c>
    </row>
    <row r="1917" spans="6:18" x14ac:dyDescent="0.3">
      <c r="F1917" t="str">
        <f>IF(A1917="","",4*AVERAGE($E$7:E1917))</f>
        <v/>
      </c>
      <c r="R1917" t="str">
        <f>IF(L1917="","",6*AVERAGE($Q$7:Q1917))</f>
        <v/>
      </c>
    </row>
    <row r="1918" spans="6:18" x14ac:dyDescent="0.3">
      <c r="F1918" t="str">
        <f>IF(A1918="","",4*AVERAGE($E$7:E1918))</f>
        <v/>
      </c>
      <c r="R1918" t="str">
        <f>IF(L1918="","",6*AVERAGE($Q$7:Q1918))</f>
        <v/>
      </c>
    </row>
    <row r="1919" spans="6:18" x14ac:dyDescent="0.3">
      <c r="F1919" t="str">
        <f>IF(A1919="","",4*AVERAGE($E$7:E1919))</f>
        <v/>
      </c>
      <c r="R1919" t="str">
        <f>IF(L1919="","",6*AVERAGE($Q$7:Q1919))</f>
        <v/>
      </c>
    </row>
    <row r="1920" spans="6:18" x14ac:dyDescent="0.3">
      <c r="F1920" t="str">
        <f>IF(A1920="","",4*AVERAGE($E$7:E1920))</f>
        <v/>
      </c>
      <c r="R1920" t="str">
        <f>IF(L1920="","",6*AVERAGE($Q$7:Q1920))</f>
        <v/>
      </c>
    </row>
    <row r="1921" spans="6:18" x14ac:dyDescent="0.3">
      <c r="F1921" t="str">
        <f>IF(A1921="","",4*AVERAGE($E$7:E1921))</f>
        <v/>
      </c>
      <c r="R1921" t="str">
        <f>IF(L1921="","",6*AVERAGE($Q$7:Q1921))</f>
        <v/>
      </c>
    </row>
    <row r="1922" spans="6:18" x14ac:dyDescent="0.3">
      <c r="F1922" t="str">
        <f>IF(A1922="","",4*AVERAGE($E$7:E1922))</f>
        <v/>
      </c>
      <c r="R1922" t="str">
        <f>IF(L1922="","",6*AVERAGE($Q$7:Q1922))</f>
        <v/>
      </c>
    </row>
    <row r="1923" spans="6:18" x14ac:dyDescent="0.3">
      <c r="F1923" t="str">
        <f>IF(A1923="","",4*AVERAGE($E$7:E1923))</f>
        <v/>
      </c>
      <c r="R1923" t="str">
        <f>IF(L1923="","",6*AVERAGE($Q$7:Q1923))</f>
        <v/>
      </c>
    </row>
    <row r="1924" spans="6:18" x14ac:dyDescent="0.3">
      <c r="F1924" t="str">
        <f>IF(A1924="","",4*AVERAGE($E$7:E1924))</f>
        <v/>
      </c>
      <c r="R1924" t="str">
        <f>IF(L1924="","",6*AVERAGE($Q$7:Q1924))</f>
        <v/>
      </c>
    </row>
    <row r="1925" spans="6:18" x14ac:dyDescent="0.3">
      <c r="F1925" t="str">
        <f>IF(A1925="","",4*AVERAGE($E$7:E1925))</f>
        <v/>
      </c>
      <c r="R1925" t="str">
        <f>IF(L1925="","",6*AVERAGE($Q$7:Q1925))</f>
        <v/>
      </c>
    </row>
    <row r="1926" spans="6:18" x14ac:dyDescent="0.3">
      <c r="F1926" t="str">
        <f>IF(A1926="","",4*AVERAGE($E$7:E1926))</f>
        <v/>
      </c>
      <c r="R1926" t="str">
        <f>IF(L1926="","",6*AVERAGE($Q$7:Q1926))</f>
        <v/>
      </c>
    </row>
    <row r="1927" spans="6:18" x14ac:dyDescent="0.3">
      <c r="F1927" t="str">
        <f>IF(A1927="","",4*AVERAGE($E$7:E1927))</f>
        <v/>
      </c>
      <c r="R1927" t="str">
        <f>IF(L1927="","",6*AVERAGE($Q$7:Q1927))</f>
        <v/>
      </c>
    </row>
    <row r="1928" spans="6:18" x14ac:dyDescent="0.3">
      <c r="F1928" t="str">
        <f>IF(A1928="","",4*AVERAGE($E$7:E1928))</f>
        <v/>
      </c>
      <c r="R1928" t="str">
        <f>IF(L1928="","",6*AVERAGE($Q$7:Q1928))</f>
        <v/>
      </c>
    </row>
    <row r="1929" spans="6:18" x14ac:dyDescent="0.3">
      <c r="F1929" t="str">
        <f>IF(A1929="","",4*AVERAGE($E$7:E1929))</f>
        <v/>
      </c>
      <c r="R1929" t="str">
        <f>IF(L1929="","",6*AVERAGE($Q$7:Q1929))</f>
        <v/>
      </c>
    </row>
    <row r="1930" spans="6:18" x14ac:dyDescent="0.3">
      <c r="F1930" t="str">
        <f>IF(A1930="","",4*AVERAGE($E$7:E1930))</f>
        <v/>
      </c>
      <c r="R1930" t="str">
        <f>IF(L1930="","",6*AVERAGE($Q$7:Q1930))</f>
        <v/>
      </c>
    </row>
    <row r="1931" spans="6:18" x14ac:dyDescent="0.3">
      <c r="F1931" t="str">
        <f>IF(A1931="","",4*AVERAGE($E$7:E1931))</f>
        <v/>
      </c>
      <c r="R1931" t="str">
        <f>IF(L1931="","",6*AVERAGE($Q$7:Q1931))</f>
        <v/>
      </c>
    </row>
    <row r="1932" spans="6:18" x14ac:dyDescent="0.3">
      <c r="F1932" t="str">
        <f>IF(A1932="","",4*AVERAGE($E$7:E1932))</f>
        <v/>
      </c>
      <c r="R1932" t="str">
        <f>IF(L1932="","",6*AVERAGE($Q$7:Q1932))</f>
        <v/>
      </c>
    </row>
    <row r="1933" spans="6:18" x14ac:dyDescent="0.3">
      <c r="F1933" t="str">
        <f>IF(A1933="","",4*AVERAGE($E$7:E1933))</f>
        <v/>
      </c>
      <c r="R1933" t="str">
        <f>IF(L1933="","",6*AVERAGE($Q$7:Q1933))</f>
        <v/>
      </c>
    </row>
    <row r="1934" spans="6:18" x14ac:dyDescent="0.3">
      <c r="F1934" t="str">
        <f>IF(A1934="","",4*AVERAGE($E$7:E1934))</f>
        <v/>
      </c>
      <c r="R1934" t="str">
        <f>IF(L1934="","",6*AVERAGE($Q$7:Q1934))</f>
        <v/>
      </c>
    </row>
    <row r="1935" spans="6:18" x14ac:dyDescent="0.3">
      <c r="F1935" t="str">
        <f>IF(A1935="","",4*AVERAGE($E$7:E1935))</f>
        <v/>
      </c>
      <c r="R1935" t="str">
        <f>IF(L1935="","",6*AVERAGE($Q$7:Q1935))</f>
        <v/>
      </c>
    </row>
    <row r="1936" spans="6:18" x14ac:dyDescent="0.3">
      <c r="F1936" t="str">
        <f>IF(A1936="","",4*AVERAGE($E$7:E1936))</f>
        <v/>
      </c>
      <c r="R1936" t="str">
        <f>IF(L1936="","",6*AVERAGE($Q$7:Q1936))</f>
        <v/>
      </c>
    </row>
    <row r="1937" spans="6:18" x14ac:dyDescent="0.3">
      <c r="F1937" t="str">
        <f>IF(A1937="","",4*AVERAGE($E$7:E1937))</f>
        <v/>
      </c>
      <c r="R1937" t="str">
        <f>IF(L1937="","",6*AVERAGE($Q$7:Q1937))</f>
        <v/>
      </c>
    </row>
    <row r="1938" spans="6:18" x14ac:dyDescent="0.3">
      <c r="F1938" t="str">
        <f>IF(A1938="","",4*AVERAGE($E$7:E1938))</f>
        <v/>
      </c>
      <c r="R1938" t="str">
        <f>IF(L1938="","",6*AVERAGE($Q$7:Q1938))</f>
        <v/>
      </c>
    </row>
    <row r="1939" spans="6:18" x14ac:dyDescent="0.3">
      <c r="F1939" t="str">
        <f>IF(A1939="","",4*AVERAGE($E$7:E1939))</f>
        <v/>
      </c>
      <c r="R1939" t="str">
        <f>IF(L1939="","",6*AVERAGE($Q$7:Q1939))</f>
        <v/>
      </c>
    </row>
    <row r="1940" spans="6:18" x14ac:dyDescent="0.3">
      <c r="F1940" t="str">
        <f>IF(A1940="","",4*AVERAGE($E$7:E1940))</f>
        <v/>
      </c>
      <c r="R1940" t="str">
        <f>IF(L1940="","",6*AVERAGE($Q$7:Q1940))</f>
        <v/>
      </c>
    </row>
    <row r="1941" spans="6:18" x14ac:dyDescent="0.3">
      <c r="F1941" t="str">
        <f>IF(A1941="","",4*AVERAGE($E$7:E1941))</f>
        <v/>
      </c>
      <c r="R1941" t="str">
        <f>IF(L1941="","",6*AVERAGE($Q$7:Q1941))</f>
        <v/>
      </c>
    </row>
    <row r="1942" spans="6:18" x14ac:dyDescent="0.3">
      <c r="F1942" t="str">
        <f>IF(A1942="","",4*AVERAGE($E$7:E1942))</f>
        <v/>
      </c>
      <c r="R1942" t="str">
        <f>IF(L1942="","",6*AVERAGE($Q$7:Q1942))</f>
        <v/>
      </c>
    </row>
    <row r="1943" spans="6:18" x14ac:dyDescent="0.3">
      <c r="F1943" t="str">
        <f>IF(A1943="","",4*AVERAGE($E$7:E1943))</f>
        <v/>
      </c>
      <c r="R1943" t="str">
        <f>IF(L1943="","",6*AVERAGE($Q$7:Q1943))</f>
        <v/>
      </c>
    </row>
    <row r="1944" spans="6:18" x14ac:dyDescent="0.3">
      <c r="F1944" t="str">
        <f>IF(A1944="","",4*AVERAGE($E$7:E1944))</f>
        <v/>
      </c>
      <c r="R1944" t="str">
        <f>IF(L1944="","",6*AVERAGE($Q$7:Q1944))</f>
        <v/>
      </c>
    </row>
    <row r="1945" spans="6:18" x14ac:dyDescent="0.3">
      <c r="F1945" t="str">
        <f>IF(A1945="","",4*AVERAGE($E$7:E1945))</f>
        <v/>
      </c>
      <c r="R1945" t="str">
        <f>IF(L1945="","",6*AVERAGE($Q$7:Q1945))</f>
        <v/>
      </c>
    </row>
    <row r="1946" spans="6:18" x14ac:dyDescent="0.3">
      <c r="F1946" t="str">
        <f>IF(A1946="","",4*AVERAGE($E$7:E1946))</f>
        <v/>
      </c>
      <c r="R1946" t="str">
        <f>IF(L1946="","",6*AVERAGE($Q$7:Q1946))</f>
        <v/>
      </c>
    </row>
    <row r="1947" spans="6:18" x14ac:dyDescent="0.3">
      <c r="F1947" t="str">
        <f>IF(A1947="","",4*AVERAGE($E$7:E1947))</f>
        <v/>
      </c>
      <c r="R1947" t="str">
        <f>IF(L1947="","",6*AVERAGE($Q$7:Q1947))</f>
        <v/>
      </c>
    </row>
    <row r="1948" spans="6:18" x14ac:dyDescent="0.3">
      <c r="F1948" t="str">
        <f>IF(A1948="","",4*AVERAGE($E$7:E1948))</f>
        <v/>
      </c>
      <c r="R1948" t="str">
        <f>IF(L1948="","",6*AVERAGE($Q$7:Q1948))</f>
        <v/>
      </c>
    </row>
    <row r="1949" spans="6:18" x14ac:dyDescent="0.3">
      <c r="F1949" t="str">
        <f>IF(A1949="","",4*AVERAGE($E$7:E1949))</f>
        <v/>
      </c>
      <c r="R1949" t="str">
        <f>IF(L1949="","",6*AVERAGE($Q$7:Q1949))</f>
        <v/>
      </c>
    </row>
    <row r="1950" spans="6:18" x14ac:dyDescent="0.3">
      <c r="F1950" t="str">
        <f>IF(A1950="","",4*AVERAGE($E$7:E1950))</f>
        <v/>
      </c>
      <c r="R1950" t="str">
        <f>IF(L1950="","",6*AVERAGE($Q$7:Q1950))</f>
        <v/>
      </c>
    </row>
    <row r="1951" spans="6:18" x14ac:dyDescent="0.3">
      <c r="F1951" t="str">
        <f>IF(A1951="","",4*AVERAGE($E$7:E1951))</f>
        <v/>
      </c>
      <c r="R1951" t="str">
        <f>IF(L1951="","",6*AVERAGE($Q$7:Q1951))</f>
        <v/>
      </c>
    </row>
    <row r="1952" spans="6:18" x14ac:dyDescent="0.3">
      <c r="F1952" t="str">
        <f>IF(A1952="","",4*AVERAGE($E$7:E1952))</f>
        <v/>
      </c>
      <c r="R1952" t="str">
        <f>IF(L1952="","",6*AVERAGE($Q$7:Q1952))</f>
        <v/>
      </c>
    </row>
    <row r="1953" spans="6:18" x14ac:dyDescent="0.3">
      <c r="F1953" t="str">
        <f>IF(A1953="","",4*AVERAGE($E$7:E1953))</f>
        <v/>
      </c>
      <c r="R1953" t="str">
        <f>IF(L1953="","",6*AVERAGE($Q$7:Q1953))</f>
        <v/>
      </c>
    </row>
    <row r="1954" spans="6:18" x14ac:dyDescent="0.3">
      <c r="F1954" t="str">
        <f>IF(A1954="","",4*AVERAGE($E$7:E1954))</f>
        <v/>
      </c>
      <c r="R1954" t="str">
        <f>IF(L1954="","",6*AVERAGE($Q$7:Q1954))</f>
        <v/>
      </c>
    </row>
    <row r="1955" spans="6:18" x14ac:dyDescent="0.3">
      <c r="F1955" t="str">
        <f>IF(A1955="","",4*AVERAGE($E$7:E1955))</f>
        <v/>
      </c>
      <c r="R1955" t="str">
        <f>IF(L1955="","",6*AVERAGE($Q$7:Q1955))</f>
        <v/>
      </c>
    </row>
    <row r="1956" spans="6:18" x14ac:dyDescent="0.3">
      <c r="F1956" t="str">
        <f>IF(A1956="","",4*AVERAGE($E$7:E1956))</f>
        <v/>
      </c>
      <c r="R1956" t="str">
        <f>IF(L1956="","",6*AVERAGE($Q$7:Q1956))</f>
        <v/>
      </c>
    </row>
    <row r="1957" spans="6:18" x14ac:dyDescent="0.3">
      <c r="F1957" t="str">
        <f>IF(A1957="","",4*AVERAGE($E$7:E1957))</f>
        <v/>
      </c>
      <c r="R1957" t="str">
        <f>IF(L1957="","",6*AVERAGE($Q$7:Q1957))</f>
        <v/>
      </c>
    </row>
    <row r="1958" spans="6:18" x14ac:dyDescent="0.3">
      <c r="F1958" t="str">
        <f>IF(A1958="","",4*AVERAGE($E$7:E1958))</f>
        <v/>
      </c>
      <c r="R1958" t="str">
        <f>IF(L1958="","",6*AVERAGE($Q$7:Q1958))</f>
        <v/>
      </c>
    </row>
    <row r="1959" spans="6:18" x14ac:dyDescent="0.3">
      <c r="F1959" t="str">
        <f>IF(A1959="","",4*AVERAGE($E$7:E1959))</f>
        <v/>
      </c>
      <c r="R1959" t="str">
        <f>IF(L1959="","",6*AVERAGE($Q$7:Q1959))</f>
        <v/>
      </c>
    </row>
    <row r="1960" spans="6:18" x14ac:dyDescent="0.3">
      <c r="F1960" t="str">
        <f>IF(A1960="","",4*AVERAGE($E$7:E1960))</f>
        <v/>
      </c>
      <c r="R1960" t="str">
        <f>IF(L1960="","",6*AVERAGE($Q$7:Q1960))</f>
        <v/>
      </c>
    </row>
    <row r="1961" spans="6:18" x14ac:dyDescent="0.3">
      <c r="F1961" t="str">
        <f>IF(A1961="","",4*AVERAGE($E$7:E1961))</f>
        <v/>
      </c>
      <c r="R1961" t="str">
        <f>IF(L1961="","",6*AVERAGE($Q$7:Q1961))</f>
        <v/>
      </c>
    </row>
    <row r="1962" spans="6:18" x14ac:dyDescent="0.3">
      <c r="F1962" t="str">
        <f>IF(A1962="","",4*AVERAGE($E$7:E1962))</f>
        <v/>
      </c>
      <c r="R1962" t="str">
        <f>IF(L1962="","",6*AVERAGE($Q$7:Q1962))</f>
        <v/>
      </c>
    </row>
    <row r="1963" spans="6:18" x14ac:dyDescent="0.3">
      <c r="F1963" t="str">
        <f>IF(A1963="","",4*AVERAGE($E$7:E1963))</f>
        <v/>
      </c>
      <c r="R1963" t="str">
        <f>IF(L1963="","",6*AVERAGE($Q$7:Q1963))</f>
        <v/>
      </c>
    </row>
    <row r="1964" spans="6:18" x14ac:dyDescent="0.3">
      <c r="F1964" t="str">
        <f>IF(A1964="","",4*AVERAGE($E$7:E1964))</f>
        <v/>
      </c>
      <c r="R1964" t="str">
        <f>IF(L1964="","",6*AVERAGE($Q$7:Q1964))</f>
        <v/>
      </c>
    </row>
    <row r="1965" spans="6:18" x14ac:dyDescent="0.3">
      <c r="F1965" t="str">
        <f>IF(A1965="","",4*AVERAGE($E$7:E1965))</f>
        <v/>
      </c>
      <c r="R1965" t="str">
        <f>IF(L1965="","",6*AVERAGE($Q$7:Q1965))</f>
        <v/>
      </c>
    </row>
    <row r="1966" spans="6:18" x14ac:dyDescent="0.3">
      <c r="F1966" t="str">
        <f>IF(A1966="","",4*AVERAGE($E$7:E1966))</f>
        <v/>
      </c>
      <c r="R1966" t="str">
        <f>IF(L1966="","",6*AVERAGE($Q$7:Q1966))</f>
        <v/>
      </c>
    </row>
    <row r="1967" spans="6:18" x14ac:dyDescent="0.3">
      <c r="F1967" t="str">
        <f>IF(A1967="","",4*AVERAGE($E$7:E1967))</f>
        <v/>
      </c>
      <c r="R1967" t="str">
        <f>IF(L1967="","",6*AVERAGE($Q$7:Q1967))</f>
        <v/>
      </c>
    </row>
    <row r="1968" spans="6:18" x14ac:dyDescent="0.3">
      <c r="F1968" t="str">
        <f>IF(A1968="","",4*AVERAGE($E$7:E1968))</f>
        <v/>
      </c>
      <c r="R1968" t="str">
        <f>IF(L1968="","",6*AVERAGE($Q$7:Q1968))</f>
        <v/>
      </c>
    </row>
    <row r="1969" spans="6:18" x14ac:dyDescent="0.3">
      <c r="F1969" t="str">
        <f>IF(A1969="","",4*AVERAGE($E$7:E1969))</f>
        <v/>
      </c>
      <c r="R1969" t="str">
        <f>IF(L1969="","",6*AVERAGE($Q$7:Q1969))</f>
        <v/>
      </c>
    </row>
    <row r="1970" spans="6:18" x14ac:dyDescent="0.3">
      <c r="F1970" t="str">
        <f>IF(A1970="","",4*AVERAGE($E$7:E1970))</f>
        <v/>
      </c>
      <c r="R1970" t="str">
        <f>IF(L1970="","",6*AVERAGE($Q$7:Q1970))</f>
        <v/>
      </c>
    </row>
    <row r="1971" spans="6:18" x14ac:dyDescent="0.3">
      <c r="F1971" t="str">
        <f>IF(A1971="","",4*AVERAGE($E$7:E1971))</f>
        <v/>
      </c>
      <c r="R1971" t="str">
        <f>IF(L1971="","",6*AVERAGE($Q$7:Q1971))</f>
        <v/>
      </c>
    </row>
    <row r="1972" spans="6:18" x14ac:dyDescent="0.3">
      <c r="F1972" t="str">
        <f>IF(A1972="","",4*AVERAGE($E$7:E1972))</f>
        <v/>
      </c>
      <c r="R1972" t="str">
        <f>IF(L1972="","",6*AVERAGE($Q$7:Q1972))</f>
        <v/>
      </c>
    </row>
    <row r="1973" spans="6:18" x14ac:dyDescent="0.3">
      <c r="F1973" t="str">
        <f>IF(A1973="","",4*AVERAGE($E$7:E1973))</f>
        <v/>
      </c>
      <c r="R1973" t="str">
        <f>IF(L1973="","",6*AVERAGE($Q$7:Q1973))</f>
        <v/>
      </c>
    </row>
    <row r="1974" spans="6:18" x14ac:dyDescent="0.3">
      <c r="F1974" t="str">
        <f>IF(A1974="","",4*AVERAGE($E$7:E1974))</f>
        <v/>
      </c>
      <c r="R1974" t="str">
        <f>IF(L1974="","",6*AVERAGE($Q$7:Q1974))</f>
        <v/>
      </c>
    </row>
    <row r="1975" spans="6:18" x14ac:dyDescent="0.3">
      <c r="F1975" t="str">
        <f>IF(A1975="","",4*AVERAGE($E$7:E1975))</f>
        <v/>
      </c>
      <c r="R1975" t="str">
        <f>IF(L1975="","",6*AVERAGE($Q$7:Q1975))</f>
        <v/>
      </c>
    </row>
    <row r="1976" spans="6:18" x14ac:dyDescent="0.3">
      <c r="F1976" t="str">
        <f>IF(A1976="","",4*AVERAGE($E$7:E1976))</f>
        <v/>
      </c>
      <c r="R1976" t="str">
        <f>IF(L1976="","",6*AVERAGE($Q$7:Q1976))</f>
        <v/>
      </c>
    </row>
    <row r="1977" spans="6:18" x14ac:dyDescent="0.3">
      <c r="F1977" t="str">
        <f>IF(A1977="","",4*AVERAGE($E$7:E1977))</f>
        <v/>
      </c>
      <c r="R1977" t="str">
        <f>IF(L1977="","",6*AVERAGE($Q$7:Q1977))</f>
        <v/>
      </c>
    </row>
    <row r="1978" spans="6:18" x14ac:dyDescent="0.3">
      <c r="F1978" t="str">
        <f>IF(A1978="","",4*AVERAGE($E$7:E1978))</f>
        <v/>
      </c>
      <c r="R1978" t="str">
        <f>IF(L1978="","",6*AVERAGE($Q$7:Q1978))</f>
        <v/>
      </c>
    </row>
    <row r="1979" spans="6:18" x14ac:dyDescent="0.3">
      <c r="F1979" t="str">
        <f>IF(A1979="","",4*AVERAGE($E$7:E1979))</f>
        <v/>
      </c>
      <c r="R1979" t="str">
        <f>IF(L1979="","",6*AVERAGE($Q$7:Q1979))</f>
        <v/>
      </c>
    </row>
    <row r="1980" spans="6:18" x14ac:dyDescent="0.3">
      <c r="F1980" t="str">
        <f>IF(A1980="","",4*AVERAGE($E$7:E1980))</f>
        <v/>
      </c>
      <c r="R1980" t="str">
        <f>IF(L1980="","",6*AVERAGE($Q$7:Q1980))</f>
        <v/>
      </c>
    </row>
    <row r="1981" spans="6:18" x14ac:dyDescent="0.3">
      <c r="F1981" t="str">
        <f>IF(A1981="","",4*AVERAGE($E$7:E1981))</f>
        <v/>
      </c>
      <c r="R1981" t="str">
        <f>IF(L1981="","",6*AVERAGE($Q$7:Q1981))</f>
        <v/>
      </c>
    </row>
    <row r="1982" spans="6:18" x14ac:dyDescent="0.3">
      <c r="F1982" t="str">
        <f>IF(A1982="","",4*AVERAGE($E$7:E1982))</f>
        <v/>
      </c>
      <c r="R1982" t="str">
        <f>IF(L1982="","",6*AVERAGE($Q$7:Q1982))</f>
        <v/>
      </c>
    </row>
    <row r="1983" spans="6:18" x14ac:dyDescent="0.3">
      <c r="F1983" t="str">
        <f>IF(A1983="","",4*AVERAGE($E$7:E1983))</f>
        <v/>
      </c>
      <c r="R1983" t="str">
        <f>IF(L1983="","",6*AVERAGE($Q$7:Q1983))</f>
        <v/>
      </c>
    </row>
    <row r="1984" spans="6:18" x14ac:dyDescent="0.3">
      <c r="F1984" t="str">
        <f>IF(A1984="","",4*AVERAGE($E$7:E1984))</f>
        <v/>
      </c>
      <c r="R1984" t="str">
        <f>IF(L1984="","",6*AVERAGE($Q$7:Q1984))</f>
        <v/>
      </c>
    </row>
    <row r="1985" spans="6:18" x14ac:dyDescent="0.3">
      <c r="F1985" t="str">
        <f>IF(A1985="","",4*AVERAGE($E$7:E1985))</f>
        <v/>
      </c>
      <c r="R1985" t="str">
        <f>IF(L1985="","",6*AVERAGE($Q$7:Q1985))</f>
        <v/>
      </c>
    </row>
    <row r="1986" spans="6:18" x14ac:dyDescent="0.3">
      <c r="F1986" t="str">
        <f>IF(A1986="","",4*AVERAGE($E$7:E1986))</f>
        <v/>
      </c>
      <c r="R1986" t="str">
        <f>IF(L1986="","",6*AVERAGE($Q$7:Q1986))</f>
        <v/>
      </c>
    </row>
    <row r="1987" spans="6:18" x14ac:dyDescent="0.3">
      <c r="F1987" t="str">
        <f>IF(A1987="","",4*AVERAGE($E$7:E1987))</f>
        <v/>
      </c>
      <c r="R1987" t="str">
        <f>IF(L1987="","",6*AVERAGE($Q$7:Q1987))</f>
        <v/>
      </c>
    </row>
    <row r="1988" spans="6:18" x14ac:dyDescent="0.3">
      <c r="F1988" t="str">
        <f>IF(A1988="","",4*AVERAGE($E$7:E1988))</f>
        <v/>
      </c>
      <c r="R1988" t="str">
        <f>IF(L1988="","",6*AVERAGE($Q$7:Q1988))</f>
        <v/>
      </c>
    </row>
    <row r="1989" spans="6:18" x14ac:dyDescent="0.3">
      <c r="F1989" t="str">
        <f>IF(A1989="","",4*AVERAGE($E$7:E1989))</f>
        <v/>
      </c>
      <c r="R1989" t="str">
        <f>IF(L1989="","",6*AVERAGE($Q$7:Q1989))</f>
        <v/>
      </c>
    </row>
    <row r="1990" spans="6:18" x14ac:dyDescent="0.3">
      <c r="F1990" t="str">
        <f>IF(A1990="","",4*AVERAGE($E$7:E1990))</f>
        <v/>
      </c>
      <c r="R1990" t="str">
        <f>IF(L1990="","",6*AVERAGE($Q$7:Q1990))</f>
        <v/>
      </c>
    </row>
    <row r="1991" spans="6:18" x14ac:dyDescent="0.3">
      <c r="F1991" t="str">
        <f>IF(A1991="","",4*AVERAGE($E$7:E1991))</f>
        <v/>
      </c>
      <c r="R1991" t="str">
        <f>IF(L1991="","",6*AVERAGE($Q$7:Q1991))</f>
        <v/>
      </c>
    </row>
    <row r="1992" spans="6:18" x14ac:dyDescent="0.3">
      <c r="F1992" t="str">
        <f>IF(A1992="","",4*AVERAGE($E$7:E1992))</f>
        <v/>
      </c>
      <c r="R1992" t="str">
        <f>IF(L1992="","",6*AVERAGE($Q$7:Q1992))</f>
        <v/>
      </c>
    </row>
    <row r="1993" spans="6:18" x14ac:dyDescent="0.3">
      <c r="F1993" t="str">
        <f>IF(A1993="","",4*AVERAGE($E$7:E1993))</f>
        <v/>
      </c>
      <c r="R1993" t="str">
        <f>IF(L1993="","",6*AVERAGE($Q$7:Q1993))</f>
        <v/>
      </c>
    </row>
    <row r="1994" spans="6:18" x14ac:dyDescent="0.3">
      <c r="F1994" t="str">
        <f>IF(A1994="","",4*AVERAGE($E$7:E1994))</f>
        <v/>
      </c>
      <c r="R1994" t="str">
        <f>IF(L1994="","",6*AVERAGE($Q$7:Q1994))</f>
        <v/>
      </c>
    </row>
    <row r="1995" spans="6:18" x14ac:dyDescent="0.3">
      <c r="F1995" t="str">
        <f>IF(A1995="","",4*AVERAGE($E$7:E1995))</f>
        <v/>
      </c>
      <c r="R1995" t="str">
        <f>IF(L1995="","",6*AVERAGE($Q$7:Q1995))</f>
        <v/>
      </c>
    </row>
    <row r="1996" spans="6:18" x14ac:dyDescent="0.3">
      <c r="F1996" t="str">
        <f>IF(A1996="","",4*AVERAGE($E$7:E1996))</f>
        <v/>
      </c>
      <c r="R1996" t="str">
        <f>IF(L1996="","",6*AVERAGE($Q$7:Q1996))</f>
        <v/>
      </c>
    </row>
    <row r="1997" spans="6:18" x14ac:dyDescent="0.3">
      <c r="F1997" t="str">
        <f>IF(A1997="","",4*AVERAGE($E$7:E1997))</f>
        <v/>
      </c>
      <c r="R1997" t="str">
        <f>IF(L1997="","",6*AVERAGE($Q$7:Q1997))</f>
        <v/>
      </c>
    </row>
    <row r="1998" spans="6:18" x14ac:dyDescent="0.3">
      <c r="F1998" t="str">
        <f>IF(A1998="","",4*AVERAGE($E$7:E1998))</f>
        <v/>
      </c>
      <c r="R1998" t="str">
        <f>IF(L1998="","",6*AVERAGE($Q$7:Q1998))</f>
        <v/>
      </c>
    </row>
    <row r="1999" spans="6:18" x14ac:dyDescent="0.3">
      <c r="F1999" t="str">
        <f>IF(A1999="","",4*AVERAGE($E$7:E1999))</f>
        <v/>
      </c>
      <c r="R1999" t="str">
        <f>IF(L1999="","",6*AVERAGE($Q$7:Q1999))</f>
        <v/>
      </c>
    </row>
    <row r="2000" spans="6:18" x14ac:dyDescent="0.3">
      <c r="F2000" t="str">
        <f>IF(A2000="","",4*AVERAGE($E$7:E2000))</f>
        <v/>
      </c>
      <c r="R2000" t="str">
        <f>IF(L2000="","",6*AVERAGE($Q$7:Q2000))</f>
        <v/>
      </c>
    </row>
    <row r="2001" spans="6:18" x14ac:dyDescent="0.3">
      <c r="F2001" t="str">
        <f>IF(A2001="","",4*AVERAGE($E$7:E2001))</f>
        <v/>
      </c>
      <c r="R2001" t="str">
        <f>IF(L2001="","",6*AVERAGE($Q$7:Q2001))</f>
        <v/>
      </c>
    </row>
    <row r="2002" spans="6:18" x14ac:dyDescent="0.3">
      <c r="F2002" t="str">
        <f>IF(A2002="","",4*AVERAGE($E$7:E2002))</f>
        <v/>
      </c>
      <c r="R2002" t="str">
        <f>IF(L2002="","",6*AVERAGE($Q$7:Q2002))</f>
        <v/>
      </c>
    </row>
    <row r="2003" spans="6:18" x14ac:dyDescent="0.3">
      <c r="F2003" t="str">
        <f>IF(A2003="","",4*AVERAGE($E$7:E2003))</f>
        <v/>
      </c>
      <c r="R2003" t="str">
        <f>IF(L2003="","",6*AVERAGE($Q$7:Q2003))</f>
        <v/>
      </c>
    </row>
    <row r="2004" spans="6:18" x14ac:dyDescent="0.3">
      <c r="F2004" t="str">
        <f>IF(A2004="","",4*AVERAGE($E$7:E2004))</f>
        <v/>
      </c>
      <c r="R2004" t="str">
        <f>IF(L2004="","",6*AVERAGE($Q$7:Q2004))</f>
        <v/>
      </c>
    </row>
    <row r="2005" spans="6:18" x14ac:dyDescent="0.3">
      <c r="F2005" t="str">
        <f>IF(A2005="","",4*AVERAGE($E$7:E2005))</f>
        <v/>
      </c>
      <c r="R2005" t="str">
        <f>IF(L2005="","",6*AVERAGE($Q$7:Q2005))</f>
        <v/>
      </c>
    </row>
    <row r="2006" spans="6:18" x14ac:dyDescent="0.3">
      <c r="F2006" t="str">
        <f>IF(A2006="","",4*AVERAGE($E$7:E2006))</f>
        <v/>
      </c>
      <c r="R2006" t="str">
        <f>IF(L2006="","",6*AVERAGE($Q$7:Q2006))</f>
        <v/>
      </c>
    </row>
    <row r="2007" spans="6:18" x14ac:dyDescent="0.3">
      <c r="F2007" t="str">
        <f>IF(A2007="","",4*AVERAGE($E$7:E2007))</f>
        <v/>
      </c>
      <c r="R2007" t="str">
        <f>IF(L2007="","",6*AVERAGE($Q$7:Q2007))</f>
        <v/>
      </c>
    </row>
    <row r="2008" spans="6:18" x14ac:dyDescent="0.3">
      <c r="F2008" t="str">
        <f>IF(A2008="","",4*AVERAGE($E$7:E2008))</f>
        <v/>
      </c>
      <c r="R2008" t="str">
        <f>IF(L2008="","",6*AVERAGE($Q$7:Q2008))</f>
        <v/>
      </c>
    </row>
    <row r="2009" spans="6:18" x14ac:dyDescent="0.3">
      <c r="F2009" t="str">
        <f>IF(A2009="","",4*AVERAGE($E$7:E2009))</f>
        <v/>
      </c>
      <c r="R2009" t="str">
        <f>IF(L2009="","",6*AVERAGE($Q$7:Q2009))</f>
        <v/>
      </c>
    </row>
    <row r="2010" spans="6:18" x14ac:dyDescent="0.3">
      <c r="F2010" t="str">
        <f>IF(A2010="","",4*AVERAGE($E$7:E2010))</f>
        <v/>
      </c>
      <c r="R2010" t="str">
        <f>IF(L2010="","",6*AVERAGE($Q$7:Q2010))</f>
        <v/>
      </c>
    </row>
    <row r="2011" spans="6:18" x14ac:dyDescent="0.3">
      <c r="F2011" t="str">
        <f>IF(A2011="","",4*AVERAGE($E$7:E2011))</f>
        <v/>
      </c>
      <c r="R2011" t="str">
        <f>IF(L2011="","",6*AVERAGE($Q$7:Q2011))</f>
        <v/>
      </c>
    </row>
    <row r="2012" spans="6:18" x14ac:dyDescent="0.3">
      <c r="F2012" t="str">
        <f>IF(A2012="","",4*AVERAGE($E$7:E2012))</f>
        <v/>
      </c>
      <c r="R2012" t="str">
        <f>IF(L2012="","",6*AVERAGE($Q$7:Q2012))</f>
        <v/>
      </c>
    </row>
    <row r="2013" spans="6:18" x14ac:dyDescent="0.3">
      <c r="F2013" t="str">
        <f>IF(A2013="","",4*AVERAGE($E$7:E2013))</f>
        <v/>
      </c>
      <c r="R2013" t="str">
        <f>IF(L2013="","",6*AVERAGE($Q$7:Q2013))</f>
        <v/>
      </c>
    </row>
    <row r="2014" spans="6:18" x14ac:dyDescent="0.3">
      <c r="F2014" t="str">
        <f>IF(A2014="","",4*AVERAGE($E$7:E2014))</f>
        <v/>
      </c>
      <c r="R2014" t="str">
        <f>IF(L2014="","",6*AVERAGE($Q$7:Q2014))</f>
        <v/>
      </c>
    </row>
    <row r="2015" spans="6:18" x14ac:dyDescent="0.3">
      <c r="F2015" t="str">
        <f>IF(A2015="","",4*AVERAGE($E$7:E2015))</f>
        <v/>
      </c>
      <c r="R2015" t="str">
        <f>IF(L2015="","",6*AVERAGE($Q$7:Q2015))</f>
        <v/>
      </c>
    </row>
    <row r="2016" spans="6:18" x14ac:dyDescent="0.3">
      <c r="F2016" t="str">
        <f>IF(A2016="","",4*AVERAGE($E$7:E2016))</f>
        <v/>
      </c>
      <c r="R2016" t="str">
        <f>IF(L2016="","",6*AVERAGE($Q$7:Q2016))</f>
        <v/>
      </c>
    </row>
    <row r="2017" spans="6:18" x14ac:dyDescent="0.3">
      <c r="F2017" t="str">
        <f>IF(A2017="","",4*AVERAGE($E$7:E2017))</f>
        <v/>
      </c>
      <c r="R2017" t="str">
        <f>IF(L2017="","",6*AVERAGE($Q$7:Q2017))</f>
        <v/>
      </c>
    </row>
    <row r="2018" spans="6:18" x14ac:dyDescent="0.3">
      <c r="F2018" t="str">
        <f>IF(A2018="","",4*AVERAGE($E$7:E2018))</f>
        <v/>
      </c>
      <c r="R2018" t="str">
        <f>IF(L2018="","",6*AVERAGE($Q$7:Q2018))</f>
        <v/>
      </c>
    </row>
    <row r="2019" spans="6:18" x14ac:dyDescent="0.3">
      <c r="F2019" t="str">
        <f>IF(A2019="","",4*AVERAGE($E$7:E2019))</f>
        <v/>
      </c>
      <c r="R2019" t="str">
        <f>IF(L2019="","",6*AVERAGE($Q$7:Q2019))</f>
        <v/>
      </c>
    </row>
    <row r="2020" spans="6:18" x14ac:dyDescent="0.3">
      <c r="F2020" t="str">
        <f>IF(A2020="","",4*AVERAGE($E$7:E2020))</f>
        <v/>
      </c>
      <c r="R2020" t="str">
        <f>IF(L2020="","",6*AVERAGE($Q$7:Q2020))</f>
        <v/>
      </c>
    </row>
    <row r="2021" spans="6:18" x14ac:dyDescent="0.3">
      <c r="F2021" t="str">
        <f>IF(A2021="","",4*AVERAGE($E$7:E2021))</f>
        <v/>
      </c>
      <c r="R2021" t="str">
        <f>IF(L2021="","",6*AVERAGE($Q$7:Q2021))</f>
        <v/>
      </c>
    </row>
    <row r="2022" spans="6:18" x14ac:dyDescent="0.3">
      <c r="F2022" t="str">
        <f>IF(A2022="","",4*AVERAGE($E$7:E2022))</f>
        <v/>
      </c>
      <c r="R2022" t="str">
        <f>IF(L2022="","",6*AVERAGE($Q$7:Q2022))</f>
        <v/>
      </c>
    </row>
    <row r="2023" spans="6:18" x14ac:dyDescent="0.3">
      <c r="F2023" t="str">
        <f>IF(A2023="","",4*AVERAGE($E$7:E2023))</f>
        <v/>
      </c>
      <c r="R2023" t="str">
        <f>IF(L2023="","",6*AVERAGE($Q$7:Q2023))</f>
        <v/>
      </c>
    </row>
    <row r="2024" spans="6:18" x14ac:dyDescent="0.3">
      <c r="F2024" t="str">
        <f>IF(A2024="","",4*AVERAGE($E$7:E2024))</f>
        <v/>
      </c>
      <c r="R2024" t="str">
        <f>IF(L2024="","",6*AVERAGE($Q$7:Q2024))</f>
        <v/>
      </c>
    </row>
    <row r="2025" spans="6:18" x14ac:dyDescent="0.3">
      <c r="F2025" t="str">
        <f>IF(A2025="","",4*AVERAGE($E$7:E2025))</f>
        <v/>
      </c>
      <c r="R2025" t="str">
        <f>IF(L2025="","",6*AVERAGE($Q$7:Q2025))</f>
        <v/>
      </c>
    </row>
    <row r="2026" spans="6:18" x14ac:dyDescent="0.3">
      <c r="F2026" t="str">
        <f>IF(A2026="","",4*AVERAGE($E$7:E2026))</f>
        <v/>
      </c>
      <c r="R2026" t="str">
        <f>IF(L2026="","",6*AVERAGE($Q$7:Q2026))</f>
        <v/>
      </c>
    </row>
    <row r="2027" spans="6:18" x14ac:dyDescent="0.3">
      <c r="F2027" t="str">
        <f>IF(A2027="","",4*AVERAGE($E$7:E2027))</f>
        <v/>
      </c>
      <c r="R2027" t="str">
        <f>IF(L2027="","",6*AVERAGE($Q$7:Q2027))</f>
        <v/>
      </c>
    </row>
    <row r="2028" spans="6:18" x14ac:dyDescent="0.3">
      <c r="F2028" t="str">
        <f>IF(A2028="","",4*AVERAGE($E$7:E2028))</f>
        <v/>
      </c>
      <c r="R2028" t="str">
        <f>IF(L2028="","",6*AVERAGE($Q$7:Q2028))</f>
        <v/>
      </c>
    </row>
    <row r="2029" spans="6:18" x14ac:dyDescent="0.3">
      <c r="F2029" t="str">
        <f>IF(A2029="","",4*AVERAGE($E$7:E2029))</f>
        <v/>
      </c>
      <c r="R2029" t="str">
        <f>IF(L2029="","",6*AVERAGE($Q$7:Q2029))</f>
        <v/>
      </c>
    </row>
    <row r="2030" spans="6:18" x14ac:dyDescent="0.3">
      <c r="F2030" t="str">
        <f>IF(A2030="","",4*AVERAGE($E$7:E2030))</f>
        <v/>
      </c>
      <c r="R2030" t="str">
        <f>IF(L2030="","",6*AVERAGE($Q$7:Q2030))</f>
        <v/>
      </c>
    </row>
    <row r="2031" spans="6:18" x14ac:dyDescent="0.3">
      <c r="F2031" t="str">
        <f>IF(A2031="","",4*AVERAGE($E$7:E2031))</f>
        <v/>
      </c>
      <c r="R2031" t="str">
        <f>IF(L2031="","",6*AVERAGE($Q$7:Q2031))</f>
        <v/>
      </c>
    </row>
    <row r="2032" spans="6:18" x14ac:dyDescent="0.3">
      <c r="F2032" t="str">
        <f>IF(A2032="","",4*AVERAGE($E$7:E2032))</f>
        <v/>
      </c>
      <c r="R2032" t="str">
        <f>IF(L2032="","",6*AVERAGE($Q$7:Q2032))</f>
        <v/>
      </c>
    </row>
    <row r="2033" spans="6:18" x14ac:dyDescent="0.3">
      <c r="F2033" t="str">
        <f>IF(A2033="","",4*AVERAGE($E$7:E2033))</f>
        <v/>
      </c>
      <c r="R2033" t="str">
        <f>IF(L2033="","",6*AVERAGE($Q$7:Q2033))</f>
        <v/>
      </c>
    </row>
    <row r="2034" spans="6:18" x14ac:dyDescent="0.3">
      <c r="F2034" t="str">
        <f>IF(A2034="","",4*AVERAGE($E$7:E2034))</f>
        <v/>
      </c>
      <c r="R2034" t="str">
        <f>IF(L2034="","",6*AVERAGE($Q$7:Q2034))</f>
        <v/>
      </c>
    </row>
    <row r="2035" spans="6:18" x14ac:dyDescent="0.3">
      <c r="F2035" t="str">
        <f>IF(A2035="","",4*AVERAGE($E$7:E2035))</f>
        <v/>
      </c>
      <c r="R2035" t="str">
        <f>IF(L2035="","",6*AVERAGE($Q$7:Q2035))</f>
        <v/>
      </c>
    </row>
    <row r="2036" spans="6:18" x14ac:dyDescent="0.3">
      <c r="F2036" t="str">
        <f>IF(A2036="","",4*AVERAGE($E$7:E2036))</f>
        <v/>
      </c>
      <c r="R2036" t="str">
        <f>IF(L2036="","",6*AVERAGE($Q$7:Q2036))</f>
        <v/>
      </c>
    </row>
    <row r="2037" spans="6:18" x14ac:dyDescent="0.3">
      <c r="F2037" t="str">
        <f>IF(A2037="","",4*AVERAGE($E$7:E2037))</f>
        <v/>
      </c>
      <c r="R2037" t="str">
        <f>IF(L2037="","",6*AVERAGE($Q$7:Q2037))</f>
        <v/>
      </c>
    </row>
    <row r="2038" spans="6:18" x14ac:dyDescent="0.3">
      <c r="F2038" t="str">
        <f>IF(A2038="","",4*AVERAGE($E$7:E2038))</f>
        <v/>
      </c>
      <c r="R2038" t="str">
        <f>IF(L2038="","",6*AVERAGE($Q$7:Q2038))</f>
        <v/>
      </c>
    </row>
    <row r="2039" spans="6:18" x14ac:dyDescent="0.3">
      <c r="F2039" t="str">
        <f>IF(A2039="","",4*AVERAGE($E$7:E2039))</f>
        <v/>
      </c>
      <c r="R2039" t="str">
        <f>IF(L2039="","",6*AVERAGE($Q$7:Q2039))</f>
        <v/>
      </c>
    </row>
    <row r="2040" spans="6:18" x14ac:dyDescent="0.3">
      <c r="F2040" t="str">
        <f>IF(A2040="","",4*AVERAGE($E$7:E2040))</f>
        <v/>
      </c>
      <c r="R2040" t="str">
        <f>IF(L2040="","",6*AVERAGE($Q$7:Q2040))</f>
        <v/>
      </c>
    </row>
    <row r="2041" spans="6:18" x14ac:dyDescent="0.3">
      <c r="F2041" t="str">
        <f>IF(A2041="","",4*AVERAGE($E$7:E2041))</f>
        <v/>
      </c>
      <c r="R2041" t="str">
        <f>IF(L2041="","",6*AVERAGE($Q$7:Q2041))</f>
        <v/>
      </c>
    </row>
    <row r="2042" spans="6:18" x14ac:dyDescent="0.3">
      <c r="F2042" t="str">
        <f>IF(A2042="","",4*AVERAGE($E$7:E2042))</f>
        <v/>
      </c>
      <c r="R2042" t="str">
        <f>IF(L2042="","",6*AVERAGE($Q$7:Q2042))</f>
        <v/>
      </c>
    </row>
    <row r="2043" spans="6:18" x14ac:dyDescent="0.3">
      <c r="F2043" t="str">
        <f>IF(A2043="","",4*AVERAGE($E$7:E2043))</f>
        <v/>
      </c>
      <c r="R2043" t="str">
        <f>IF(L2043="","",6*AVERAGE($Q$7:Q2043))</f>
        <v/>
      </c>
    </row>
    <row r="2044" spans="6:18" x14ac:dyDescent="0.3">
      <c r="F2044" t="str">
        <f>IF(A2044="","",4*AVERAGE($E$7:E2044))</f>
        <v/>
      </c>
      <c r="R2044" t="str">
        <f>IF(L2044="","",6*AVERAGE($Q$7:Q2044))</f>
        <v/>
      </c>
    </row>
    <row r="2045" spans="6:18" x14ac:dyDescent="0.3">
      <c r="F2045" t="str">
        <f>IF(A2045="","",4*AVERAGE($E$7:E2045))</f>
        <v/>
      </c>
      <c r="R2045" t="str">
        <f>IF(L2045="","",6*AVERAGE($Q$7:Q2045))</f>
        <v/>
      </c>
    </row>
    <row r="2046" spans="6:18" x14ac:dyDescent="0.3">
      <c r="F2046" t="str">
        <f>IF(A2046="","",4*AVERAGE($E$7:E2046))</f>
        <v/>
      </c>
      <c r="R2046" t="str">
        <f>IF(L2046="","",6*AVERAGE($Q$7:Q2046))</f>
        <v/>
      </c>
    </row>
    <row r="2047" spans="6:18" x14ac:dyDescent="0.3">
      <c r="F2047" t="str">
        <f>IF(A2047="","",4*AVERAGE($E$7:E2047))</f>
        <v/>
      </c>
      <c r="R2047" t="str">
        <f>IF(L2047="","",6*AVERAGE($Q$7:Q2047))</f>
        <v/>
      </c>
    </row>
    <row r="2048" spans="6:18" x14ac:dyDescent="0.3">
      <c r="F2048" t="str">
        <f>IF(A2048="","",4*AVERAGE($E$7:E2048))</f>
        <v/>
      </c>
      <c r="R2048" t="str">
        <f>IF(L2048="","",6*AVERAGE($Q$7:Q2048))</f>
        <v/>
      </c>
    </row>
    <row r="2049" spans="6:18" x14ac:dyDescent="0.3">
      <c r="F2049" t="str">
        <f>IF(A2049="","",4*AVERAGE($E$7:E2049))</f>
        <v/>
      </c>
      <c r="R2049" t="str">
        <f>IF(L2049="","",6*AVERAGE($Q$7:Q2049))</f>
        <v/>
      </c>
    </row>
    <row r="2050" spans="6:18" x14ac:dyDescent="0.3">
      <c r="F2050" t="str">
        <f>IF(A2050="","",4*AVERAGE($E$7:E2050))</f>
        <v/>
      </c>
      <c r="R2050" t="str">
        <f>IF(L2050="","",6*AVERAGE($Q$7:Q2050))</f>
        <v/>
      </c>
    </row>
    <row r="2051" spans="6:18" x14ac:dyDescent="0.3">
      <c r="F2051" t="str">
        <f>IF(A2051="","",4*AVERAGE($E$7:E2051))</f>
        <v/>
      </c>
      <c r="R2051" t="str">
        <f>IF(L2051="","",6*AVERAGE($Q$7:Q2051))</f>
        <v/>
      </c>
    </row>
    <row r="2052" spans="6:18" x14ac:dyDescent="0.3">
      <c r="F2052" t="str">
        <f>IF(A2052="","",4*AVERAGE($E$7:E2052))</f>
        <v/>
      </c>
      <c r="R2052" t="str">
        <f>IF(L2052="","",6*AVERAGE($Q$7:Q2052))</f>
        <v/>
      </c>
    </row>
    <row r="2053" spans="6:18" x14ac:dyDescent="0.3">
      <c r="F2053" t="str">
        <f>IF(A2053="","",4*AVERAGE($E$7:E2053))</f>
        <v/>
      </c>
      <c r="R2053" t="str">
        <f>IF(L2053="","",6*AVERAGE($Q$7:Q2053))</f>
        <v/>
      </c>
    </row>
    <row r="2054" spans="6:18" x14ac:dyDescent="0.3">
      <c r="F2054" t="str">
        <f>IF(A2054="","",4*AVERAGE($E$7:E2054))</f>
        <v/>
      </c>
      <c r="R2054" t="str">
        <f>IF(L2054="","",6*AVERAGE($Q$7:Q2054))</f>
        <v/>
      </c>
    </row>
    <row r="2055" spans="6:18" x14ac:dyDescent="0.3">
      <c r="F2055" t="str">
        <f>IF(A2055="","",4*AVERAGE($E$7:E2055))</f>
        <v/>
      </c>
      <c r="R2055" t="str">
        <f>IF(L2055="","",6*AVERAGE($Q$7:Q2055))</f>
        <v/>
      </c>
    </row>
    <row r="2056" spans="6:18" x14ac:dyDescent="0.3">
      <c r="F2056" t="str">
        <f>IF(A2056="","",4*AVERAGE($E$7:E2056))</f>
        <v/>
      </c>
      <c r="R2056" t="str">
        <f>IF(L2056="","",6*AVERAGE($Q$7:Q2056))</f>
        <v/>
      </c>
    </row>
    <row r="2057" spans="6:18" x14ac:dyDescent="0.3">
      <c r="F2057" t="str">
        <f>IF(A2057="","",4*AVERAGE($E$7:E2057))</f>
        <v/>
      </c>
      <c r="R2057" t="str">
        <f>IF(L2057="","",6*AVERAGE($Q$7:Q2057))</f>
        <v/>
      </c>
    </row>
    <row r="2058" spans="6:18" x14ac:dyDescent="0.3">
      <c r="F2058" t="str">
        <f>IF(A2058="","",4*AVERAGE($E$7:E2058))</f>
        <v/>
      </c>
      <c r="R2058" t="str">
        <f>IF(L2058="","",6*AVERAGE($Q$7:Q2058))</f>
        <v/>
      </c>
    </row>
    <row r="2059" spans="6:18" x14ac:dyDescent="0.3">
      <c r="F2059" t="str">
        <f>IF(A2059="","",4*AVERAGE($E$7:E2059))</f>
        <v/>
      </c>
      <c r="R2059" t="str">
        <f>IF(L2059="","",6*AVERAGE($Q$7:Q2059))</f>
        <v/>
      </c>
    </row>
    <row r="2060" spans="6:18" x14ac:dyDescent="0.3">
      <c r="F2060" t="str">
        <f>IF(A2060="","",4*AVERAGE($E$7:E2060))</f>
        <v/>
      </c>
      <c r="R2060" t="str">
        <f>IF(L2060="","",6*AVERAGE($Q$7:Q2060))</f>
        <v/>
      </c>
    </row>
    <row r="2061" spans="6:18" x14ac:dyDescent="0.3">
      <c r="F2061" t="str">
        <f>IF(A2061="","",4*AVERAGE($E$7:E2061))</f>
        <v/>
      </c>
      <c r="R2061" t="str">
        <f>IF(L2061="","",6*AVERAGE($Q$7:Q2061))</f>
        <v/>
      </c>
    </row>
    <row r="2062" spans="6:18" x14ac:dyDescent="0.3">
      <c r="F2062" t="str">
        <f>IF(A2062="","",4*AVERAGE($E$7:E2062))</f>
        <v/>
      </c>
      <c r="R2062" t="str">
        <f>IF(L2062="","",6*AVERAGE($Q$7:Q2062))</f>
        <v/>
      </c>
    </row>
    <row r="2063" spans="6:18" x14ac:dyDescent="0.3">
      <c r="F2063" t="str">
        <f>IF(A2063="","",4*AVERAGE($E$7:E2063))</f>
        <v/>
      </c>
      <c r="R2063" t="str">
        <f>IF(L2063="","",6*AVERAGE($Q$7:Q2063))</f>
        <v/>
      </c>
    </row>
    <row r="2064" spans="6:18" x14ac:dyDescent="0.3">
      <c r="F2064" t="str">
        <f>IF(A2064="","",4*AVERAGE($E$7:E2064))</f>
        <v/>
      </c>
      <c r="R2064" t="str">
        <f>IF(L2064="","",6*AVERAGE($Q$7:Q2064))</f>
        <v/>
      </c>
    </row>
    <row r="2065" spans="6:18" x14ac:dyDescent="0.3">
      <c r="F2065" t="str">
        <f>IF(A2065="","",4*AVERAGE($E$7:E2065))</f>
        <v/>
      </c>
      <c r="R2065" t="str">
        <f>IF(L2065="","",6*AVERAGE($Q$7:Q2065))</f>
        <v/>
      </c>
    </row>
    <row r="2066" spans="6:18" x14ac:dyDescent="0.3">
      <c r="F2066" t="str">
        <f>IF(A2066="","",4*AVERAGE($E$7:E2066))</f>
        <v/>
      </c>
      <c r="R2066" t="str">
        <f>IF(L2066="","",6*AVERAGE($Q$7:Q2066))</f>
        <v/>
      </c>
    </row>
    <row r="2067" spans="6:18" x14ac:dyDescent="0.3">
      <c r="F2067" t="str">
        <f>IF(A2067="","",4*AVERAGE($E$7:E2067))</f>
        <v/>
      </c>
      <c r="R2067" t="str">
        <f>IF(L2067="","",6*AVERAGE($Q$7:Q2067))</f>
        <v/>
      </c>
    </row>
    <row r="2068" spans="6:18" x14ac:dyDescent="0.3">
      <c r="F2068" t="str">
        <f>IF(A2068="","",4*AVERAGE($E$7:E2068))</f>
        <v/>
      </c>
      <c r="R2068" t="str">
        <f>IF(L2068="","",6*AVERAGE($Q$7:Q2068))</f>
        <v/>
      </c>
    </row>
    <row r="2069" spans="6:18" x14ac:dyDescent="0.3">
      <c r="F2069" t="str">
        <f>IF(A2069="","",4*AVERAGE($E$7:E2069))</f>
        <v/>
      </c>
      <c r="R2069" t="str">
        <f>IF(L2069="","",6*AVERAGE($Q$7:Q2069))</f>
        <v/>
      </c>
    </row>
    <row r="2070" spans="6:18" x14ac:dyDescent="0.3">
      <c r="F2070" t="str">
        <f>IF(A2070="","",4*AVERAGE($E$7:E2070))</f>
        <v/>
      </c>
      <c r="R2070" t="str">
        <f>IF(L2070="","",6*AVERAGE($Q$7:Q2070))</f>
        <v/>
      </c>
    </row>
    <row r="2071" spans="6:18" x14ac:dyDescent="0.3">
      <c r="F2071" t="str">
        <f>IF(A2071="","",4*AVERAGE($E$7:E2071))</f>
        <v/>
      </c>
      <c r="R2071" t="str">
        <f>IF(L2071="","",6*AVERAGE($Q$7:Q2071))</f>
        <v/>
      </c>
    </row>
    <row r="2072" spans="6:18" x14ac:dyDescent="0.3">
      <c r="F2072" t="str">
        <f>IF(A2072="","",4*AVERAGE($E$7:E2072))</f>
        <v/>
      </c>
      <c r="R2072" t="str">
        <f>IF(L2072="","",6*AVERAGE($Q$7:Q2072))</f>
        <v/>
      </c>
    </row>
    <row r="2073" spans="6:18" x14ac:dyDescent="0.3">
      <c r="F2073" t="str">
        <f>IF(A2073="","",4*AVERAGE($E$7:E2073))</f>
        <v/>
      </c>
      <c r="R2073" t="str">
        <f>IF(L2073="","",6*AVERAGE($Q$7:Q2073))</f>
        <v/>
      </c>
    </row>
    <row r="2074" spans="6:18" x14ac:dyDescent="0.3">
      <c r="F2074" t="str">
        <f>IF(A2074="","",4*AVERAGE($E$7:E2074))</f>
        <v/>
      </c>
      <c r="R2074" t="str">
        <f>IF(L2074="","",6*AVERAGE($Q$7:Q2074))</f>
        <v/>
      </c>
    </row>
    <row r="2075" spans="6:18" x14ac:dyDescent="0.3">
      <c r="F2075" t="str">
        <f>IF(A2075="","",4*AVERAGE($E$7:E2075))</f>
        <v/>
      </c>
      <c r="R2075" t="str">
        <f>IF(L2075="","",6*AVERAGE($Q$7:Q2075))</f>
        <v/>
      </c>
    </row>
    <row r="2076" spans="6:18" x14ac:dyDescent="0.3">
      <c r="F2076" t="str">
        <f>IF(A2076="","",4*AVERAGE($E$7:E2076))</f>
        <v/>
      </c>
      <c r="R2076" t="str">
        <f>IF(L2076="","",6*AVERAGE($Q$7:Q2076))</f>
        <v/>
      </c>
    </row>
    <row r="2077" spans="6:18" x14ac:dyDescent="0.3">
      <c r="F2077" t="str">
        <f>IF(A2077="","",4*AVERAGE($E$7:E2077))</f>
        <v/>
      </c>
      <c r="R2077" t="str">
        <f>IF(L2077="","",6*AVERAGE($Q$7:Q2077))</f>
        <v/>
      </c>
    </row>
    <row r="2078" spans="6:18" x14ac:dyDescent="0.3">
      <c r="F2078" t="str">
        <f>IF(A2078="","",4*AVERAGE($E$7:E2078))</f>
        <v/>
      </c>
      <c r="R2078" t="str">
        <f>IF(L2078="","",6*AVERAGE($Q$7:Q2078))</f>
        <v/>
      </c>
    </row>
    <row r="2079" spans="6:18" x14ac:dyDescent="0.3">
      <c r="F2079" t="str">
        <f>IF(A2079="","",4*AVERAGE($E$7:E2079))</f>
        <v/>
      </c>
      <c r="R2079" t="str">
        <f>IF(L2079="","",6*AVERAGE($Q$7:Q2079))</f>
        <v/>
      </c>
    </row>
    <row r="2080" spans="6:18" x14ac:dyDescent="0.3">
      <c r="F2080" t="str">
        <f>IF(A2080="","",4*AVERAGE($E$7:E2080))</f>
        <v/>
      </c>
      <c r="R2080" t="str">
        <f>IF(L2080="","",6*AVERAGE($Q$7:Q2080))</f>
        <v/>
      </c>
    </row>
    <row r="2081" spans="6:18" x14ac:dyDescent="0.3">
      <c r="F2081" t="str">
        <f>IF(A2081="","",4*AVERAGE($E$7:E2081))</f>
        <v/>
      </c>
      <c r="R2081" t="str">
        <f>IF(L2081="","",6*AVERAGE($Q$7:Q2081))</f>
        <v/>
      </c>
    </row>
    <row r="2082" spans="6:18" x14ac:dyDescent="0.3">
      <c r="F2082" t="str">
        <f>IF(A2082="","",4*AVERAGE($E$7:E2082))</f>
        <v/>
      </c>
      <c r="R2082" t="str">
        <f>IF(L2082="","",6*AVERAGE($Q$7:Q2082))</f>
        <v/>
      </c>
    </row>
    <row r="2083" spans="6:18" x14ac:dyDescent="0.3">
      <c r="F2083" t="str">
        <f>IF(A2083="","",4*AVERAGE($E$7:E2083))</f>
        <v/>
      </c>
      <c r="R2083" t="str">
        <f>IF(L2083="","",6*AVERAGE($Q$7:Q2083))</f>
        <v/>
      </c>
    </row>
    <row r="2084" spans="6:18" x14ac:dyDescent="0.3">
      <c r="F2084" t="str">
        <f>IF(A2084="","",4*AVERAGE($E$7:E2084))</f>
        <v/>
      </c>
      <c r="R2084" t="str">
        <f>IF(L2084="","",6*AVERAGE($Q$7:Q2084))</f>
        <v/>
      </c>
    </row>
    <row r="2085" spans="6:18" x14ac:dyDescent="0.3">
      <c r="F2085" t="str">
        <f>IF(A2085="","",4*AVERAGE($E$7:E2085))</f>
        <v/>
      </c>
      <c r="R2085" t="str">
        <f>IF(L2085="","",6*AVERAGE($Q$7:Q2085))</f>
        <v/>
      </c>
    </row>
    <row r="2086" spans="6:18" x14ac:dyDescent="0.3">
      <c r="F2086" t="str">
        <f>IF(A2086="","",4*AVERAGE($E$7:E2086))</f>
        <v/>
      </c>
      <c r="R2086" t="str">
        <f>IF(L2086="","",6*AVERAGE($Q$7:Q2086))</f>
        <v/>
      </c>
    </row>
    <row r="2087" spans="6:18" x14ac:dyDescent="0.3">
      <c r="F2087" t="str">
        <f>IF(A2087="","",4*AVERAGE($E$7:E2087))</f>
        <v/>
      </c>
      <c r="R2087" t="str">
        <f>IF(L2087="","",6*AVERAGE($Q$7:Q2087))</f>
        <v/>
      </c>
    </row>
    <row r="2088" spans="6:18" x14ac:dyDescent="0.3">
      <c r="F2088" t="str">
        <f>IF(A2088="","",4*AVERAGE($E$7:E2088))</f>
        <v/>
      </c>
      <c r="R2088" t="str">
        <f>IF(L2088="","",6*AVERAGE($Q$7:Q2088))</f>
        <v/>
      </c>
    </row>
    <row r="2089" spans="6:18" x14ac:dyDescent="0.3">
      <c r="F2089" t="str">
        <f>IF(A2089="","",4*AVERAGE($E$7:E2089))</f>
        <v/>
      </c>
      <c r="R2089" t="str">
        <f>IF(L2089="","",6*AVERAGE($Q$7:Q2089))</f>
        <v/>
      </c>
    </row>
    <row r="2090" spans="6:18" x14ac:dyDescent="0.3">
      <c r="F2090" t="str">
        <f>IF(A2090="","",4*AVERAGE($E$7:E2090))</f>
        <v/>
      </c>
      <c r="R2090" t="str">
        <f>IF(L2090="","",6*AVERAGE($Q$7:Q2090))</f>
        <v/>
      </c>
    </row>
    <row r="2091" spans="6:18" x14ac:dyDescent="0.3">
      <c r="F2091" t="str">
        <f>IF(A2091="","",4*AVERAGE($E$7:E2091))</f>
        <v/>
      </c>
      <c r="R2091" t="str">
        <f>IF(L2091="","",6*AVERAGE($Q$7:Q2091))</f>
        <v/>
      </c>
    </row>
    <row r="2092" spans="6:18" x14ac:dyDescent="0.3">
      <c r="F2092" t="str">
        <f>IF(A2092="","",4*AVERAGE($E$7:E2092))</f>
        <v/>
      </c>
      <c r="R2092" t="str">
        <f>IF(L2092="","",6*AVERAGE($Q$7:Q2092))</f>
        <v/>
      </c>
    </row>
    <row r="2093" spans="6:18" x14ac:dyDescent="0.3">
      <c r="F2093" t="str">
        <f>IF(A2093="","",4*AVERAGE($E$7:E2093))</f>
        <v/>
      </c>
      <c r="R2093" t="str">
        <f>IF(L2093="","",6*AVERAGE($Q$7:Q2093))</f>
        <v/>
      </c>
    </row>
    <row r="2094" spans="6:18" x14ac:dyDescent="0.3">
      <c r="F2094" t="str">
        <f>IF(A2094="","",4*AVERAGE($E$7:E2094))</f>
        <v/>
      </c>
      <c r="R2094" t="str">
        <f>IF(L2094="","",6*AVERAGE($Q$7:Q2094))</f>
        <v/>
      </c>
    </row>
    <row r="2095" spans="6:18" x14ac:dyDescent="0.3">
      <c r="F2095" t="str">
        <f>IF(A2095="","",4*AVERAGE($E$7:E2095))</f>
        <v/>
      </c>
      <c r="R2095" t="str">
        <f>IF(L2095="","",6*AVERAGE($Q$7:Q2095))</f>
        <v/>
      </c>
    </row>
    <row r="2096" spans="6:18" x14ac:dyDescent="0.3">
      <c r="F2096" t="str">
        <f>IF(A2096="","",4*AVERAGE($E$7:E2096))</f>
        <v/>
      </c>
      <c r="R2096" t="str">
        <f>IF(L2096="","",6*AVERAGE($Q$7:Q2096))</f>
        <v/>
      </c>
    </row>
    <row r="2097" spans="6:18" x14ac:dyDescent="0.3">
      <c r="F2097" t="str">
        <f>IF(A2097="","",4*AVERAGE($E$7:E2097))</f>
        <v/>
      </c>
      <c r="R2097" t="str">
        <f>IF(L2097="","",6*AVERAGE($Q$7:Q2097))</f>
        <v/>
      </c>
    </row>
    <row r="2098" spans="6:18" x14ac:dyDescent="0.3">
      <c r="F2098" t="str">
        <f>IF(A2098="","",4*AVERAGE($E$7:E2098))</f>
        <v/>
      </c>
      <c r="R2098" t="str">
        <f>IF(L2098="","",6*AVERAGE($Q$7:Q2098))</f>
        <v/>
      </c>
    </row>
    <row r="2099" spans="6:18" x14ac:dyDescent="0.3">
      <c r="F2099" t="str">
        <f>IF(A2099="","",4*AVERAGE($E$7:E2099))</f>
        <v/>
      </c>
      <c r="R2099" t="str">
        <f>IF(L2099="","",6*AVERAGE($Q$7:Q2099))</f>
        <v/>
      </c>
    </row>
    <row r="2100" spans="6:18" x14ac:dyDescent="0.3">
      <c r="F2100" t="str">
        <f>IF(A2100="","",4*AVERAGE($E$7:E2100))</f>
        <v/>
      </c>
      <c r="R2100" t="str">
        <f>IF(L2100="","",6*AVERAGE($Q$7:Q2100))</f>
        <v/>
      </c>
    </row>
    <row r="2101" spans="6:18" x14ac:dyDescent="0.3">
      <c r="F2101" t="str">
        <f>IF(A2101="","",4*AVERAGE($E$7:E2101))</f>
        <v/>
      </c>
      <c r="R2101" t="str">
        <f>IF(L2101="","",6*AVERAGE($Q$7:Q2101))</f>
        <v/>
      </c>
    </row>
    <row r="2102" spans="6:18" x14ac:dyDescent="0.3">
      <c r="F2102" t="str">
        <f>IF(A2102="","",4*AVERAGE($E$7:E2102))</f>
        <v/>
      </c>
      <c r="R2102" t="str">
        <f>IF(L2102="","",6*AVERAGE($Q$7:Q2102))</f>
        <v/>
      </c>
    </row>
    <row r="2103" spans="6:18" x14ac:dyDescent="0.3">
      <c r="F2103" t="str">
        <f>IF(A2103="","",4*AVERAGE($E$7:E2103))</f>
        <v/>
      </c>
      <c r="R2103" t="str">
        <f>IF(L2103="","",6*AVERAGE($Q$7:Q2103))</f>
        <v/>
      </c>
    </row>
    <row r="2104" spans="6:18" x14ac:dyDescent="0.3">
      <c r="F2104" t="str">
        <f>IF(A2104="","",4*AVERAGE($E$7:E2104))</f>
        <v/>
      </c>
      <c r="R2104" t="str">
        <f>IF(L2104="","",6*AVERAGE($Q$7:Q2104))</f>
        <v/>
      </c>
    </row>
    <row r="2105" spans="6:18" x14ac:dyDescent="0.3">
      <c r="F2105" t="str">
        <f>IF(A2105="","",4*AVERAGE($E$7:E2105))</f>
        <v/>
      </c>
      <c r="R2105" t="str">
        <f>IF(L2105="","",6*AVERAGE($Q$7:Q2105))</f>
        <v/>
      </c>
    </row>
    <row r="2106" spans="6:18" x14ac:dyDescent="0.3">
      <c r="F2106" t="str">
        <f>IF(A2106="","",4*AVERAGE($E$7:E2106))</f>
        <v/>
      </c>
      <c r="R2106" t="str">
        <f>IF(L2106="","",6*AVERAGE($Q$7:Q2106))</f>
        <v/>
      </c>
    </row>
    <row r="2107" spans="6:18" x14ac:dyDescent="0.3">
      <c r="F2107" t="str">
        <f>IF(A2107="","",4*AVERAGE($E$7:E2107))</f>
        <v/>
      </c>
      <c r="R2107" t="str">
        <f>IF(L2107="","",6*AVERAGE($Q$7:Q2107))</f>
        <v/>
      </c>
    </row>
    <row r="2108" spans="6:18" x14ac:dyDescent="0.3">
      <c r="F2108" t="str">
        <f>IF(A2108="","",4*AVERAGE($E$7:E2108))</f>
        <v/>
      </c>
      <c r="R2108" t="str">
        <f>IF(L2108="","",6*AVERAGE($Q$7:Q2108))</f>
        <v/>
      </c>
    </row>
    <row r="2109" spans="6:18" x14ac:dyDescent="0.3">
      <c r="F2109" t="str">
        <f>IF(A2109="","",4*AVERAGE($E$7:E2109))</f>
        <v/>
      </c>
      <c r="R2109" t="str">
        <f>IF(L2109="","",6*AVERAGE($Q$7:Q2109))</f>
        <v/>
      </c>
    </row>
    <row r="2110" spans="6:18" x14ac:dyDescent="0.3">
      <c r="F2110" t="str">
        <f>IF(A2110="","",4*AVERAGE($E$7:E2110))</f>
        <v/>
      </c>
      <c r="R2110" t="str">
        <f>IF(L2110="","",6*AVERAGE($Q$7:Q2110))</f>
        <v/>
      </c>
    </row>
    <row r="2111" spans="6:18" x14ac:dyDescent="0.3">
      <c r="F2111" t="str">
        <f>IF(A2111="","",4*AVERAGE($E$7:E2111))</f>
        <v/>
      </c>
      <c r="R2111" t="str">
        <f>IF(L2111="","",6*AVERAGE($Q$7:Q2111))</f>
        <v/>
      </c>
    </row>
    <row r="2112" spans="6:18" x14ac:dyDescent="0.3">
      <c r="F2112" t="str">
        <f>IF(A2112="","",4*AVERAGE($E$7:E2112))</f>
        <v/>
      </c>
      <c r="R2112" t="str">
        <f>IF(L2112="","",6*AVERAGE($Q$7:Q2112))</f>
        <v/>
      </c>
    </row>
    <row r="2113" spans="6:18" x14ac:dyDescent="0.3">
      <c r="F2113" t="str">
        <f>IF(A2113="","",4*AVERAGE($E$7:E2113))</f>
        <v/>
      </c>
      <c r="R2113" t="str">
        <f>IF(L2113="","",6*AVERAGE($Q$7:Q2113))</f>
        <v/>
      </c>
    </row>
    <row r="2114" spans="6:18" x14ac:dyDescent="0.3">
      <c r="F2114" t="str">
        <f>IF(A2114="","",4*AVERAGE($E$7:E2114))</f>
        <v/>
      </c>
      <c r="R2114" t="str">
        <f>IF(L2114="","",6*AVERAGE($Q$7:Q2114))</f>
        <v/>
      </c>
    </row>
    <row r="2115" spans="6:18" x14ac:dyDescent="0.3">
      <c r="F2115" t="str">
        <f>IF(A2115="","",4*AVERAGE($E$7:E2115))</f>
        <v/>
      </c>
      <c r="R2115" t="str">
        <f>IF(L2115="","",6*AVERAGE($Q$7:Q2115))</f>
        <v/>
      </c>
    </row>
    <row r="2116" spans="6:18" x14ac:dyDescent="0.3">
      <c r="F2116" t="str">
        <f>IF(A2116="","",4*AVERAGE($E$7:E2116))</f>
        <v/>
      </c>
      <c r="R2116" t="str">
        <f>IF(L2116="","",6*AVERAGE($Q$7:Q2116))</f>
        <v/>
      </c>
    </row>
    <row r="2117" spans="6:18" x14ac:dyDescent="0.3">
      <c r="F2117" t="str">
        <f>IF(A2117="","",4*AVERAGE($E$7:E2117))</f>
        <v/>
      </c>
      <c r="R2117" t="str">
        <f>IF(L2117="","",6*AVERAGE($Q$7:Q2117))</f>
        <v/>
      </c>
    </row>
    <row r="2118" spans="6:18" x14ac:dyDescent="0.3">
      <c r="F2118" t="str">
        <f>IF(A2118="","",4*AVERAGE($E$7:E2118))</f>
        <v/>
      </c>
      <c r="R2118" t="str">
        <f>IF(L2118="","",6*AVERAGE($Q$7:Q2118))</f>
        <v/>
      </c>
    </row>
    <row r="2119" spans="6:18" x14ac:dyDescent="0.3">
      <c r="F2119" t="str">
        <f>IF(A2119="","",4*AVERAGE($E$7:E2119))</f>
        <v/>
      </c>
      <c r="R2119" t="str">
        <f>IF(L2119="","",6*AVERAGE($Q$7:Q2119))</f>
        <v/>
      </c>
    </row>
    <row r="2120" spans="6:18" x14ac:dyDescent="0.3">
      <c r="F2120" t="str">
        <f>IF(A2120="","",4*AVERAGE($E$7:E2120))</f>
        <v/>
      </c>
      <c r="R2120" t="str">
        <f>IF(L2120="","",6*AVERAGE($Q$7:Q2120))</f>
        <v/>
      </c>
    </row>
    <row r="2121" spans="6:18" x14ac:dyDescent="0.3">
      <c r="F2121" t="str">
        <f>IF(A2121="","",4*AVERAGE($E$7:E2121))</f>
        <v/>
      </c>
      <c r="R2121" t="str">
        <f>IF(L2121="","",6*AVERAGE($Q$7:Q2121))</f>
        <v/>
      </c>
    </row>
    <row r="2122" spans="6:18" x14ac:dyDescent="0.3">
      <c r="F2122" t="str">
        <f>IF(A2122="","",4*AVERAGE($E$7:E2122))</f>
        <v/>
      </c>
      <c r="R2122" t="str">
        <f>IF(L2122="","",6*AVERAGE($Q$7:Q2122))</f>
        <v/>
      </c>
    </row>
    <row r="2123" spans="6:18" x14ac:dyDescent="0.3">
      <c r="F2123" t="str">
        <f>IF(A2123="","",4*AVERAGE($E$7:E2123))</f>
        <v/>
      </c>
      <c r="R2123" t="str">
        <f>IF(L2123="","",6*AVERAGE($Q$7:Q2123))</f>
        <v/>
      </c>
    </row>
    <row r="2124" spans="6:18" x14ac:dyDescent="0.3">
      <c r="F2124" t="str">
        <f>IF(A2124="","",4*AVERAGE($E$7:E2124))</f>
        <v/>
      </c>
      <c r="R2124" t="str">
        <f>IF(L2124="","",6*AVERAGE($Q$7:Q2124))</f>
        <v/>
      </c>
    </row>
    <row r="2125" spans="6:18" x14ac:dyDescent="0.3">
      <c r="F2125" t="str">
        <f>IF(A2125="","",4*AVERAGE($E$7:E2125))</f>
        <v/>
      </c>
      <c r="R2125" t="str">
        <f>IF(L2125="","",6*AVERAGE($Q$7:Q2125))</f>
        <v/>
      </c>
    </row>
    <row r="2126" spans="6:18" x14ac:dyDescent="0.3">
      <c r="F2126" t="str">
        <f>IF(A2126="","",4*AVERAGE($E$7:E2126))</f>
        <v/>
      </c>
      <c r="R2126" t="str">
        <f>IF(L2126="","",6*AVERAGE($Q$7:Q2126))</f>
        <v/>
      </c>
    </row>
    <row r="2127" spans="6:18" x14ac:dyDescent="0.3">
      <c r="F2127" t="str">
        <f>IF(A2127="","",4*AVERAGE($E$7:E2127))</f>
        <v/>
      </c>
      <c r="R2127" t="str">
        <f>IF(L2127="","",6*AVERAGE($Q$7:Q2127))</f>
        <v/>
      </c>
    </row>
    <row r="2128" spans="6:18" x14ac:dyDescent="0.3">
      <c r="F2128" t="str">
        <f>IF(A2128="","",4*AVERAGE($E$7:E2128))</f>
        <v/>
      </c>
      <c r="R2128" t="str">
        <f>IF(L2128="","",6*AVERAGE($Q$7:Q2128))</f>
        <v/>
      </c>
    </row>
    <row r="2129" spans="6:18" x14ac:dyDescent="0.3">
      <c r="F2129" t="str">
        <f>IF(A2129="","",4*AVERAGE($E$7:E2129))</f>
        <v/>
      </c>
      <c r="R2129" t="str">
        <f>IF(L2129="","",6*AVERAGE($Q$7:Q2129))</f>
        <v/>
      </c>
    </row>
    <row r="2130" spans="6:18" x14ac:dyDescent="0.3">
      <c r="F2130" t="str">
        <f>IF(A2130="","",4*AVERAGE($E$7:E2130))</f>
        <v/>
      </c>
      <c r="R2130" t="str">
        <f>IF(L2130="","",6*AVERAGE($Q$7:Q2130))</f>
        <v/>
      </c>
    </row>
    <row r="2131" spans="6:18" x14ac:dyDescent="0.3">
      <c r="F2131" t="str">
        <f>IF(A2131="","",4*AVERAGE($E$7:E2131))</f>
        <v/>
      </c>
      <c r="R2131" t="str">
        <f>IF(L2131="","",6*AVERAGE($Q$7:Q2131))</f>
        <v/>
      </c>
    </row>
    <row r="2132" spans="6:18" x14ac:dyDescent="0.3">
      <c r="F2132" t="str">
        <f>IF(A2132="","",4*AVERAGE($E$7:E2132))</f>
        <v/>
      </c>
      <c r="R2132" t="str">
        <f>IF(L2132="","",6*AVERAGE($Q$7:Q2132))</f>
        <v/>
      </c>
    </row>
    <row r="2133" spans="6:18" x14ac:dyDescent="0.3">
      <c r="F2133" t="str">
        <f>IF(A2133="","",4*AVERAGE($E$7:E2133))</f>
        <v/>
      </c>
      <c r="R2133" t="str">
        <f>IF(L2133="","",6*AVERAGE($Q$7:Q2133))</f>
        <v/>
      </c>
    </row>
    <row r="2134" spans="6:18" x14ac:dyDescent="0.3">
      <c r="F2134" t="str">
        <f>IF(A2134="","",4*AVERAGE($E$7:E2134))</f>
        <v/>
      </c>
      <c r="R2134" t="str">
        <f>IF(L2134="","",6*AVERAGE($Q$7:Q2134))</f>
        <v/>
      </c>
    </row>
    <row r="2135" spans="6:18" x14ac:dyDescent="0.3">
      <c r="F2135" t="str">
        <f>IF(A2135="","",4*AVERAGE($E$7:E2135))</f>
        <v/>
      </c>
      <c r="R2135" t="str">
        <f>IF(L2135="","",6*AVERAGE($Q$7:Q2135))</f>
        <v/>
      </c>
    </row>
    <row r="2136" spans="6:18" x14ac:dyDescent="0.3">
      <c r="F2136" t="str">
        <f>IF(A2136="","",4*AVERAGE($E$7:E2136))</f>
        <v/>
      </c>
      <c r="R2136" t="str">
        <f>IF(L2136="","",6*AVERAGE($Q$7:Q2136))</f>
        <v/>
      </c>
    </row>
    <row r="2137" spans="6:18" x14ac:dyDescent="0.3">
      <c r="F2137" t="str">
        <f>IF(A2137="","",4*AVERAGE($E$7:E2137))</f>
        <v/>
      </c>
      <c r="R2137" t="str">
        <f>IF(L2137="","",6*AVERAGE($Q$7:Q2137))</f>
        <v/>
      </c>
    </row>
    <row r="2138" spans="6:18" x14ac:dyDescent="0.3">
      <c r="F2138" t="str">
        <f>IF(A2138="","",4*AVERAGE($E$7:E2138))</f>
        <v/>
      </c>
      <c r="R2138" t="str">
        <f>IF(L2138="","",6*AVERAGE($Q$7:Q2138))</f>
        <v/>
      </c>
    </row>
    <row r="2139" spans="6:18" x14ac:dyDescent="0.3">
      <c r="F2139" t="str">
        <f>IF(A2139="","",4*AVERAGE($E$7:E2139))</f>
        <v/>
      </c>
      <c r="R2139" t="str">
        <f>IF(L2139="","",6*AVERAGE($Q$7:Q2139))</f>
        <v/>
      </c>
    </row>
    <row r="2140" spans="6:18" x14ac:dyDescent="0.3">
      <c r="F2140" t="str">
        <f>IF(A2140="","",4*AVERAGE($E$7:E2140))</f>
        <v/>
      </c>
      <c r="R2140" t="str">
        <f>IF(L2140="","",6*AVERAGE($Q$7:Q2140))</f>
        <v/>
      </c>
    </row>
    <row r="2141" spans="6:18" x14ac:dyDescent="0.3">
      <c r="F2141" t="str">
        <f>IF(A2141="","",4*AVERAGE($E$7:E2141))</f>
        <v/>
      </c>
      <c r="R2141" t="str">
        <f>IF(L2141="","",6*AVERAGE($Q$7:Q2141))</f>
        <v/>
      </c>
    </row>
    <row r="2142" spans="6:18" x14ac:dyDescent="0.3">
      <c r="F2142" t="str">
        <f>IF(A2142="","",4*AVERAGE($E$7:E2142))</f>
        <v/>
      </c>
      <c r="R2142" t="str">
        <f>IF(L2142="","",6*AVERAGE($Q$7:Q2142))</f>
        <v/>
      </c>
    </row>
    <row r="2143" spans="6:18" x14ac:dyDescent="0.3">
      <c r="F2143" t="str">
        <f>IF(A2143="","",4*AVERAGE($E$7:E2143))</f>
        <v/>
      </c>
      <c r="R2143" t="str">
        <f>IF(L2143="","",6*AVERAGE($Q$7:Q2143))</f>
        <v/>
      </c>
    </row>
    <row r="2144" spans="6:18" x14ac:dyDescent="0.3">
      <c r="F2144" t="str">
        <f>IF(A2144="","",4*AVERAGE($E$7:E2144))</f>
        <v/>
      </c>
      <c r="R2144" t="str">
        <f>IF(L2144="","",6*AVERAGE($Q$7:Q2144))</f>
        <v/>
      </c>
    </row>
    <row r="2145" spans="6:18" x14ac:dyDescent="0.3">
      <c r="F2145" t="str">
        <f>IF(A2145="","",4*AVERAGE($E$7:E2145))</f>
        <v/>
      </c>
      <c r="R2145" t="str">
        <f>IF(L2145="","",6*AVERAGE($Q$7:Q2145))</f>
        <v/>
      </c>
    </row>
    <row r="2146" spans="6:18" x14ac:dyDescent="0.3">
      <c r="F2146" t="str">
        <f>IF(A2146="","",4*AVERAGE($E$7:E2146))</f>
        <v/>
      </c>
      <c r="R2146" t="str">
        <f>IF(L2146="","",6*AVERAGE($Q$7:Q2146))</f>
        <v/>
      </c>
    </row>
    <row r="2147" spans="6:18" x14ac:dyDescent="0.3">
      <c r="F2147" t="str">
        <f>IF(A2147="","",4*AVERAGE($E$7:E2147))</f>
        <v/>
      </c>
      <c r="R2147" t="str">
        <f>IF(L2147="","",6*AVERAGE($Q$7:Q2147))</f>
        <v/>
      </c>
    </row>
    <row r="2148" spans="6:18" x14ac:dyDescent="0.3">
      <c r="F2148" t="str">
        <f>IF(A2148="","",4*AVERAGE($E$7:E2148))</f>
        <v/>
      </c>
      <c r="R2148" t="str">
        <f>IF(L2148="","",6*AVERAGE($Q$7:Q2148))</f>
        <v/>
      </c>
    </row>
    <row r="2149" spans="6:18" x14ac:dyDescent="0.3">
      <c r="F2149" t="str">
        <f>IF(A2149="","",4*AVERAGE($E$7:E2149))</f>
        <v/>
      </c>
      <c r="R2149" t="str">
        <f>IF(L2149="","",6*AVERAGE($Q$7:Q2149))</f>
        <v/>
      </c>
    </row>
    <row r="2150" spans="6:18" x14ac:dyDescent="0.3">
      <c r="F2150" t="str">
        <f>IF(A2150="","",4*AVERAGE($E$7:E2150))</f>
        <v/>
      </c>
      <c r="R2150" t="str">
        <f>IF(L2150="","",6*AVERAGE($Q$7:Q2150))</f>
        <v/>
      </c>
    </row>
    <row r="2151" spans="6:18" x14ac:dyDescent="0.3">
      <c r="F2151" t="str">
        <f>IF(A2151="","",4*AVERAGE($E$7:E2151))</f>
        <v/>
      </c>
      <c r="R2151" t="str">
        <f>IF(L2151="","",6*AVERAGE($Q$7:Q2151))</f>
        <v/>
      </c>
    </row>
    <row r="2152" spans="6:18" x14ac:dyDescent="0.3">
      <c r="F2152" t="str">
        <f>IF(A2152="","",4*AVERAGE($E$7:E2152))</f>
        <v/>
      </c>
      <c r="R2152" t="str">
        <f>IF(L2152="","",6*AVERAGE($Q$7:Q2152))</f>
        <v/>
      </c>
    </row>
    <row r="2153" spans="6:18" x14ac:dyDescent="0.3">
      <c r="F2153" t="str">
        <f>IF(A2153="","",4*AVERAGE($E$7:E2153))</f>
        <v/>
      </c>
      <c r="R2153" t="str">
        <f>IF(L2153="","",6*AVERAGE($Q$7:Q2153))</f>
        <v/>
      </c>
    </row>
    <row r="2154" spans="6:18" x14ac:dyDescent="0.3">
      <c r="F2154" t="str">
        <f>IF(A2154="","",4*AVERAGE($E$7:E2154))</f>
        <v/>
      </c>
      <c r="R2154" t="str">
        <f>IF(L2154="","",6*AVERAGE($Q$7:Q2154))</f>
        <v/>
      </c>
    </row>
    <row r="2155" spans="6:18" x14ac:dyDescent="0.3">
      <c r="F2155" t="str">
        <f>IF(A2155="","",4*AVERAGE($E$7:E2155))</f>
        <v/>
      </c>
      <c r="R2155" t="str">
        <f>IF(L2155="","",6*AVERAGE($Q$7:Q2155))</f>
        <v/>
      </c>
    </row>
    <row r="2156" spans="6:18" x14ac:dyDescent="0.3">
      <c r="F2156" t="str">
        <f>IF(A2156="","",4*AVERAGE($E$7:E2156))</f>
        <v/>
      </c>
      <c r="R2156" t="str">
        <f>IF(L2156="","",6*AVERAGE($Q$7:Q2156))</f>
        <v/>
      </c>
    </row>
    <row r="2157" spans="6:18" x14ac:dyDescent="0.3">
      <c r="F2157" t="str">
        <f>IF(A2157="","",4*AVERAGE($E$7:E2157))</f>
        <v/>
      </c>
      <c r="R2157" t="str">
        <f>IF(L2157="","",6*AVERAGE($Q$7:Q2157))</f>
        <v/>
      </c>
    </row>
    <row r="2158" spans="6:18" x14ac:dyDescent="0.3">
      <c r="F2158" t="str">
        <f>IF(A2158="","",4*AVERAGE($E$7:E2158))</f>
        <v/>
      </c>
      <c r="R2158" t="str">
        <f>IF(L2158="","",6*AVERAGE($Q$7:Q2158))</f>
        <v/>
      </c>
    </row>
    <row r="2159" spans="6:18" x14ac:dyDescent="0.3">
      <c r="F2159" t="str">
        <f>IF(A2159="","",4*AVERAGE($E$7:E2159))</f>
        <v/>
      </c>
      <c r="R2159" t="str">
        <f>IF(L2159="","",6*AVERAGE($Q$7:Q2159))</f>
        <v/>
      </c>
    </row>
    <row r="2160" spans="6:18" x14ac:dyDescent="0.3">
      <c r="F2160" t="str">
        <f>IF(A2160="","",4*AVERAGE($E$7:E2160))</f>
        <v/>
      </c>
      <c r="R2160" t="str">
        <f>IF(L2160="","",6*AVERAGE($Q$7:Q2160))</f>
        <v/>
      </c>
    </row>
    <row r="2161" spans="6:18" x14ac:dyDescent="0.3">
      <c r="F2161" t="str">
        <f>IF(A2161="","",4*AVERAGE($E$7:E2161))</f>
        <v/>
      </c>
      <c r="R2161" t="str">
        <f>IF(L2161="","",6*AVERAGE($Q$7:Q2161))</f>
        <v/>
      </c>
    </row>
    <row r="2162" spans="6:18" x14ac:dyDescent="0.3">
      <c r="F2162" t="str">
        <f>IF(A2162="","",4*AVERAGE($E$7:E2162))</f>
        <v/>
      </c>
      <c r="R2162" t="str">
        <f>IF(L2162="","",6*AVERAGE($Q$7:Q2162))</f>
        <v/>
      </c>
    </row>
    <row r="2163" spans="6:18" x14ac:dyDescent="0.3">
      <c r="F2163" t="str">
        <f>IF(A2163="","",4*AVERAGE($E$7:E2163))</f>
        <v/>
      </c>
      <c r="R2163" t="str">
        <f>IF(L2163="","",6*AVERAGE($Q$7:Q2163))</f>
        <v/>
      </c>
    </row>
    <row r="2164" spans="6:18" x14ac:dyDescent="0.3">
      <c r="F2164" t="str">
        <f>IF(A2164="","",4*AVERAGE($E$7:E2164))</f>
        <v/>
      </c>
      <c r="R2164" t="str">
        <f>IF(L2164="","",6*AVERAGE($Q$7:Q2164))</f>
        <v/>
      </c>
    </row>
    <row r="2165" spans="6:18" x14ac:dyDescent="0.3">
      <c r="F2165" t="str">
        <f>IF(A2165="","",4*AVERAGE($E$7:E2165))</f>
        <v/>
      </c>
      <c r="R2165" t="str">
        <f>IF(L2165="","",6*AVERAGE($Q$7:Q2165))</f>
        <v/>
      </c>
    </row>
    <row r="2166" spans="6:18" x14ac:dyDescent="0.3">
      <c r="F2166" t="str">
        <f>IF(A2166="","",4*AVERAGE($E$7:E2166))</f>
        <v/>
      </c>
      <c r="R2166" t="str">
        <f>IF(L2166="","",6*AVERAGE($Q$7:Q2166))</f>
        <v/>
      </c>
    </row>
    <row r="2167" spans="6:18" x14ac:dyDescent="0.3">
      <c r="F2167" t="str">
        <f>IF(A2167="","",4*AVERAGE($E$7:E2167))</f>
        <v/>
      </c>
      <c r="R2167" t="str">
        <f>IF(L2167="","",6*AVERAGE($Q$7:Q2167))</f>
        <v/>
      </c>
    </row>
    <row r="2168" spans="6:18" x14ac:dyDescent="0.3">
      <c r="F2168" t="str">
        <f>IF(A2168="","",4*AVERAGE($E$7:E2168))</f>
        <v/>
      </c>
      <c r="R2168" t="str">
        <f>IF(L2168="","",6*AVERAGE($Q$7:Q2168))</f>
        <v/>
      </c>
    </row>
    <row r="2169" spans="6:18" x14ac:dyDescent="0.3">
      <c r="F2169" t="str">
        <f>IF(A2169="","",4*AVERAGE($E$7:E2169))</f>
        <v/>
      </c>
      <c r="R2169" t="str">
        <f>IF(L2169="","",6*AVERAGE($Q$7:Q2169))</f>
        <v/>
      </c>
    </row>
    <row r="2170" spans="6:18" x14ac:dyDescent="0.3">
      <c r="F2170" t="str">
        <f>IF(A2170="","",4*AVERAGE($E$7:E2170))</f>
        <v/>
      </c>
      <c r="R2170" t="str">
        <f>IF(L2170="","",6*AVERAGE($Q$7:Q2170))</f>
        <v/>
      </c>
    </row>
    <row r="2171" spans="6:18" x14ac:dyDescent="0.3">
      <c r="F2171" t="str">
        <f>IF(A2171="","",4*AVERAGE($E$7:E2171))</f>
        <v/>
      </c>
      <c r="R2171" t="str">
        <f>IF(L2171="","",6*AVERAGE($Q$7:Q2171))</f>
        <v/>
      </c>
    </row>
    <row r="2172" spans="6:18" x14ac:dyDescent="0.3">
      <c r="F2172" t="str">
        <f>IF(A2172="","",4*AVERAGE($E$7:E2172))</f>
        <v/>
      </c>
      <c r="R2172" t="str">
        <f>IF(L2172="","",6*AVERAGE($Q$7:Q2172))</f>
        <v/>
      </c>
    </row>
    <row r="2173" spans="6:18" x14ac:dyDescent="0.3">
      <c r="F2173" t="str">
        <f>IF(A2173="","",4*AVERAGE($E$7:E2173))</f>
        <v/>
      </c>
      <c r="R2173" t="str">
        <f>IF(L2173="","",6*AVERAGE($Q$7:Q2173))</f>
        <v/>
      </c>
    </row>
    <row r="2174" spans="6:18" x14ac:dyDescent="0.3">
      <c r="F2174" t="str">
        <f>IF(A2174="","",4*AVERAGE($E$7:E2174))</f>
        <v/>
      </c>
      <c r="R2174" t="str">
        <f>IF(L2174="","",6*AVERAGE($Q$7:Q2174))</f>
        <v/>
      </c>
    </row>
    <row r="2175" spans="6:18" x14ac:dyDescent="0.3">
      <c r="F2175" t="str">
        <f>IF(A2175="","",4*AVERAGE($E$7:E2175))</f>
        <v/>
      </c>
      <c r="R2175" t="str">
        <f>IF(L2175="","",6*AVERAGE($Q$7:Q2175))</f>
        <v/>
      </c>
    </row>
    <row r="2176" spans="6:18" x14ac:dyDescent="0.3">
      <c r="F2176" t="str">
        <f>IF(A2176="","",4*AVERAGE($E$7:E2176))</f>
        <v/>
      </c>
      <c r="R2176" t="str">
        <f>IF(L2176="","",6*AVERAGE($Q$7:Q2176))</f>
        <v/>
      </c>
    </row>
    <row r="2177" spans="6:18" x14ac:dyDescent="0.3">
      <c r="F2177" t="str">
        <f>IF(A2177="","",4*AVERAGE($E$7:E2177))</f>
        <v/>
      </c>
      <c r="R2177" t="str">
        <f>IF(L2177="","",6*AVERAGE($Q$7:Q2177))</f>
        <v/>
      </c>
    </row>
    <row r="2178" spans="6:18" x14ac:dyDescent="0.3">
      <c r="F2178" t="str">
        <f>IF(A2178="","",4*AVERAGE($E$7:E2178))</f>
        <v/>
      </c>
      <c r="R2178" t="str">
        <f>IF(L2178="","",6*AVERAGE($Q$7:Q2178))</f>
        <v/>
      </c>
    </row>
    <row r="2179" spans="6:18" x14ac:dyDescent="0.3">
      <c r="F2179" t="str">
        <f>IF(A2179="","",4*AVERAGE($E$7:E2179))</f>
        <v/>
      </c>
      <c r="R2179" t="str">
        <f>IF(L2179="","",6*AVERAGE($Q$7:Q2179))</f>
        <v/>
      </c>
    </row>
    <row r="2180" spans="6:18" x14ac:dyDescent="0.3">
      <c r="F2180" t="str">
        <f>IF(A2180="","",4*AVERAGE($E$7:E2180))</f>
        <v/>
      </c>
      <c r="R2180" t="str">
        <f>IF(L2180="","",6*AVERAGE($Q$7:Q2180))</f>
        <v/>
      </c>
    </row>
    <row r="2181" spans="6:18" x14ac:dyDescent="0.3">
      <c r="F2181" t="str">
        <f>IF(A2181="","",4*AVERAGE($E$7:E2181))</f>
        <v/>
      </c>
      <c r="R2181" t="str">
        <f>IF(L2181="","",6*AVERAGE($Q$7:Q2181))</f>
        <v/>
      </c>
    </row>
    <row r="2182" spans="6:18" x14ac:dyDescent="0.3">
      <c r="F2182" t="str">
        <f>IF(A2182="","",4*AVERAGE($E$7:E2182))</f>
        <v/>
      </c>
      <c r="R2182" t="str">
        <f>IF(L2182="","",6*AVERAGE($Q$7:Q2182))</f>
        <v/>
      </c>
    </row>
    <row r="2183" spans="6:18" x14ac:dyDescent="0.3">
      <c r="F2183" t="str">
        <f>IF(A2183="","",4*AVERAGE($E$7:E2183))</f>
        <v/>
      </c>
      <c r="R2183" t="str">
        <f>IF(L2183="","",6*AVERAGE($Q$7:Q2183))</f>
        <v/>
      </c>
    </row>
    <row r="2184" spans="6:18" x14ac:dyDescent="0.3">
      <c r="F2184" t="str">
        <f>IF(A2184="","",4*AVERAGE($E$7:E2184))</f>
        <v/>
      </c>
      <c r="R2184" t="str">
        <f>IF(L2184="","",6*AVERAGE($Q$7:Q2184))</f>
        <v/>
      </c>
    </row>
    <row r="2185" spans="6:18" x14ac:dyDescent="0.3">
      <c r="F2185" t="str">
        <f>IF(A2185="","",4*AVERAGE($E$7:E2185))</f>
        <v/>
      </c>
      <c r="R2185" t="str">
        <f>IF(L2185="","",6*AVERAGE($Q$7:Q2185))</f>
        <v/>
      </c>
    </row>
    <row r="2186" spans="6:18" x14ac:dyDescent="0.3">
      <c r="F2186" t="str">
        <f>IF(A2186="","",4*AVERAGE($E$7:E2186))</f>
        <v/>
      </c>
      <c r="R2186" t="str">
        <f>IF(L2186="","",6*AVERAGE($Q$7:Q2186))</f>
        <v/>
      </c>
    </row>
    <row r="2187" spans="6:18" x14ac:dyDescent="0.3">
      <c r="F2187" t="str">
        <f>IF(A2187="","",4*AVERAGE($E$7:E2187))</f>
        <v/>
      </c>
      <c r="R2187" t="str">
        <f>IF(L2187="","",6*AVERAGE($Q$7:Q2187))</f>
        <v/>
      </c>
    </row>
    <row r="2188" spans="6:18" x14ac:dyDescent="0.3">
      <c r="F2188" t="str">
        <f>IF(A2188="","",4*AVERAGE($E$7:E2188))</f>
        <v/>
      </c>
      <c r="R2188" t="str">
        <f>IF(L2188="","",6*AVERAGE($Q$7:Q2188))</f>
        <v/>
      </c>
    </row>
    <row r="2189" spans="6:18" x14ac:dyDescent="0.3">
      <c r="F2189" t="str">
        <f>IF(A2189="","",4*AVERAGE($E$7:E2189))</f>
        <v/>
      </c>
      <c r="R2189" t="str">
        <f>IF(L2189="","",6*AVERAGE($Q$7:Q2189))</f>
        <v/>
      </c>
    </row>
    <row r="2190" spans="6:18" x14ac:dyDescent="0.3">
      <c r="F2190" t="str">
        <f>IF(A2190="","",4*AVERAGE($E$7:E2190))</f>
        <v/>
      </c>
      <c r="R2190" t="str">
        <f>IF(L2190="","",6*AVERAGE($Q$7:Q2190))</f>
        <v/>
      </c>
    </row>
    <row r="2191" spans="6:18" x14ac:dyDescent="0.3">
      <c r="F2191" t="str">
        <f>IF(A2191="","",4*AVERAGE($E$7:E2191))</f>
        <v/>
      </c>
      <c r="R2191" t="str">
        <f>IF(L2191="","",6*AVERAGE($Q$7:Q2191))</f>
        <v/>
      </c>
    </row>
    <row r="2192" spans="6:18" x14ac:dyDescent="0.3">
      <c r="F2192" t="str">
        <f>IF(A2192="","",4*AVERAGE($E$7:E2192))</f>
        <v/>
      </c>
      <c r="R2192" t="str">
        <f>IF(L2192="","",6*AVERAGE($Q$7:Q2192))</f>
        <v/>
      </c>
    </row>
    <row r="2193" spans="6:18" x14ac:dyDescent="0.3">
      <c r="F2193" t="str">
        <f>IF(A2193="","",4*AVERAGE($E$7:E2193))</f>
        <v/>
      </c>
      <c r="R2193" t="str">
        <f>IF(L2193="","",6*AVERAGE($Q$7:Q2193))</f>
        <v/>
      </c>
    </row>
    <row r="2194" spans="6:18" x14ac:dyDescent="0.3">
      <c r="F2194" t="str">
        <f>IF(A2194="","",4*AVERAGE($E$7:E2194))</f>
        <v/>
      </c>
      <c r="R2194" t="str">
        <f>IF(L2194="","",6*AVERAGE($Q$7:Q2194))</f>
        <v/>
      </c>
    </row>
    <row r="2195" spans="6:18" x14ac:dyDescent="0.3">
      <c r="F2195" t="str">
        <f>IF(A2195="","",4*AVERAGE($E$7:E2195))</f>
        <v/>
      </c>
      <c r="R2195" t="str">
        <f>IF(L2195="","",6*AVERAGE($Q$7:Q2195))</f>
        <v/>
      </c>
    </row>
    <row r="2196" spans="6:18" x14ac:dyDescent="0.3">
      <c r="F2196" t="str">
        <f>IF(A2196="","",4*AVERAGE($E$7:E2196))</f>
        <v/>
      </c>
      <c r="R2196" t="str">
        <f>IF(L2196="","",6*AVERAGE($Q$7:Q2196))</f>
        <v/>
      </c>
    </row>
    <row r="2197" spans="6:18" x14ac:dyDescent="0.3">
      <c r="F2197" t="str">
        <f>IF(A2197="","",4*AVERAGE($E$7:E2197))</f>
        <v/>
      </c>
      <c r="R2197" t="str">
        <f>IF(L2197="","",6*AVERAGE($Q$7:Q2197))</f>
        <v/>
      </c>
    </row>
    <row r="2198" spans="6:18" x14ac:dyDescent="0.3">
      <c r="F2198" t="str">
        <f>IF(A2198="","",4*AVERAGE($E$7:E2198))</f>
        <v/>
      </c>
      <c r="R2198" t="str">
        <f>IF(L2198="","",6*AVERAGE($Q$7:Q2198))</f>
        <v/>
      </c>
    </row>
    <row r="2199" spans="6:18" x14ac:dyDescent="0.3">
      <c r="F2199" t="str">
        <f>IF(A2199="","",4*AVERAGE($E$7:E2199))</f>
        <v/>
      </c>
      <c r="R2199" t="str">
        <f>IF(L2199="","",6*AVERAGE($Q$7:Q2199))</f>
        <v/>
      </c>
    </row>
    <row r="2200" spans="6:18" x14ac:dyDescent="0.3">
      <c r="F2200" t="str">
        <f>IF(A2200="","",4*AVERAGE($E$7:E2200))</f>
        <v/>
      </c>
      <c r="R2200" t="str">
        <f>IF(L2200="","",6*AVERAGE($Q$7:Q2200))</f>
        <v/>
      </c>
    </row>
    <row r="2201" spans="6:18" x14ac:dyDescent="0.3">
      <c r="F2201" t="str">
        <f>IF(A2201="","",4*AVERAGE($E$7:E2201))</f>
        <v/>
      </c>
      <c r="R2201" t="str">
        <f>IF(L2201="","",6*AVERAGE($Q$7:Q2201))</f>
        <v/>
      </c>
    </row>
    <row r="2202" spans="6:18" x14ac:dyDescent="0.3">
      <c r="F2202" t="str">
        <f>IF(A2202="","",4*AVERAGE($E$7:E2202))</f>
        <v/>
      </c>
      <c r="R2202" t="str">
        <f>IF(L2202="","",6*AVERAGE($Q$7:Q2202))</f>
        <v/>
      </c>
    </row>
    <row r="2203" spans="6:18" x14ac:dyDescent="0.3">
      <c r="F2203" t="str">
        <f>IF(A2203="","",4*AVERAGE($E$7:E2203))</f>
        <v/>
      </c>
      <c r="R2203" t="str">
        <f>IF(L2203="","",6*AVERAGE($Q$7:Q2203))</f>
        <v/>
      </c>
    </row>
    <row r="2204" spans="6:18" x14ac:dyDescent="0.3">
      <c r="F2204" t="str">
        <f>IF(A2204="","",4*AVERAGE($E$7:E2204))</f>
        <v/>
      </c>
      <c r="R2204" t="str">
        <f>IF(L2204="","",6*AVERAGE($Q$7:Q2204))</f>
        <v/>
      </c>
    </row>
    <row r="2205" spans="6:18" x14ac:dyDescent="0.3">
      <c r="F2205" t="str">
        <f>IF(A2205="","",4*AVERAGE($E$7:E2205))</f>
        <v/>
      </c>
      <c r="R2205" t="str">
        <f>IF(L2205="","",6*AVERAGE($Q$7:Q2205))</f>
        <v/>
      </c>
    </row>
    <row r="2206" spans="6:18" x14ac:dyDescent="0.3">
      <c r="F2206" t="str">
        <f>IF(A2206="","",4*AVERAGE($E$7:E2206))</f>
        <v/>
      </c>
      <c r="R2206" t="str">
        <f>IF(L2206="","",6*AVERAGE($Q$7:Q2206))</f>
        <v/>
      </c>
    </row>
    <row r="2207" spans="6:18" x14ac:dyDescent="0.3">
      <c r="F2207" t="str">
        <f>IF(A2207="","",4*AVERAGE($E$7:E2207))</f>
        <v/>
      </c>
      <c r="R2207" t="str">
        <f>IF(L2207="","",6*AVERAGE($Q$7:Q2207))</f>
        <v/>
      </c>
    </row>
    <row r="2208" spans="6:18" x14ac:dyDescent="0.3">
      <c r="F2208" t="str">
        <f>IF(A2208="","",4*AVERAGE($E$7:E2208))</f>
        <v/>
      </c>
      <c r="R2208" t="str">
        <f>IF(L2208="","",6*AVERAGE($Q$7:Q2208))</f>
        <v/>
      </c>
    </row>
    <row r="2209" spans="6:18" x14ac:dyDescent="0.3">
      <c r="F2209" t="str">
        <f>IF(A2209="","",4*AVERAGE($E$7:E2209))</f>
        <v/>
      </c>
      <c r="R2209" t="str">
        <f>IF(L2209="","",6*AVERAGE($Q$7:Q2209))</f>
        <v/>
      </c>
    </row>
    <row r="2210" spans="6:18" x14ac:dyDescent="0.3">
      <c r="F2210" t="str">
        <f>IF(A2210="","",4*AVERAGE($E$7:E2210))</f>
        <v/>
      </c>
      <c r="R2210" t="str">
        <f>IF(L2210="","",6*AVERAGE($Q$7:Q2210))</f>
        <v/>
      </c>
    </row>
    <row r="2211" spans="6:18" x14ac:dyDescent="0.3">
      <c r="F2211" t="str">
        <f>IF(A2211="","",4*AVERAGE($E$7:E2211))</f>
        <v/>
      </c>
      <c r="R2211" t="str">
        <f>IF(L2211="","",6*AVERAGE($Q$7:Q2211))</f>
        <v/>
      </c>
    </row>
    <row r="2212" spans="6:18" x14ac:dyDescent="0.3">
      <c r="F2212" t="str">
        <f>IF(A2212="","",4*AVERAGE($E$7:E2212))</f>
        <v/>
      </c>
      <c r="R2212" t="str">
        <f>IF(L2212="","",6*AVERAGE($Q$7:Q2212))</f>
        <v/>
      </c>
    </row>
    <row r="2213" spans="6:18" x14ac:dyDescent="0.3">
      <c r="F2213" t="str">
        <f>IF(A2213="","",4*AVERAGE($E$7:E2213))</f>
        <v/>
      </c>
      <c r="R2213" t="str">
        <f>IF(L2213="","",6*AVERAGE($Q$7:Q2213))</f>
        <v/>
      </c>
    </row>
    <row r="2214" spans="6:18" x14ac:dyDescent="0.3">
      <c r="F2214" t="str">
        <f>IF(A2214="","",4*AVERAGE($E$7:E2214))</f>
        <v/>
      </c>
      <c r="R2214" t="str">
        <f>IF(L2214="","",6*AVERAGE($Q$7:Q2214))</f>
        <v/>
      </c>
    </row>
    <row r="2215" spans="6:18" x14ac:dyDescent="0.3">
      <c r="F2215" t="str">
        <f>IF(A2215="","",4*AVERAGE($E$7:E2215))</f>
        <v/>
      </c>
      <c r="R2215" t="str">
        <f>IF(L2215="","",6*AVERAGE($Q$7:Q2215))</f>
        <v/>
      </c>
    </row>
    <row r="2216" spans="6:18" x14ac:dyDescent="0.3">
      <c r="F2216" t="str">
        <f>IF(A2216="","",4*AVERAGE($E$7:E2216))</f>
        <v/>
      </c>
      <c r="R2216" t="str">
        <f>IF(L2216="","",6*AVERAGE($Q$7:Q2216))</f>
        <v/>
      </c>
    </row>
    <row r="2217" spans="6:18" x14ac:dyDescent="0.3">
      <c r="F2217" t="str">
        <f>IF(A2217="","",4*AVERAGE($E$7:E2217))</f>
        <v/>
      </c>
      <c r="R2217" t="str">
        <f>IF(L2217="","",6*AVERAGE($Q$7:Q2217))</f>
        <v/>
      </c>
    </row>
    <row r="2218" spans="6:18" x14ac:dyDescent="0.3">
      <c r="F2218" t="str">
        <f>IF(A2218="","",4*AVERAGE($E$7:E2218))</f>
        <v/>
      </c>
      <c r="R2218" t="str">
        <f>IF(L2218="","",6*AVERAGE($Q$7:Q2218))</f>
        <v/>
      </c>
    </row>
    <row r="2219" spans="6:18" x14ac:dyDescent="0.3">
      <c r="F2219" t="str">
        <f>IF(A2219="","",4*AVERAGE($E$7:E2219))</f>
        <v/>
      </c>
      <c r="R2219" t="str">
        <f>IF(L2219="","",6*AVERAGE($Q$7:Q2219))</f>
        <v/>
      </c>
    </row>
    <row r="2220" spans="6:18" x14ac:dyDescent="0.3">
      <c r="F2220" t="str">
        <f>IF(A2220="","",4*AVERAGE($E$7:E2220))</f>
        <v/>
      </c>
      <c r="R2220" t="str">
        <f>IF(L2220="","",6*AVERAGE($Q$7:Q2220))</f>
        <v/>
      </c>
    </row>
    <row r="2221" spans="6:18" x14ac:dyDescent="0.3">
      <c r="F2221" t="str">
        <f>IF(A2221="","",4*AVERAGE($E$7:E2221))</f>
        <v/>
      </c>
      <c r="R2221" t="str">
        <f>IF(L2221="","",6*AVERAGE($Q$7:Q2221))</f>
        <v/>
      </c>
    </row>
    <row r="2222" spans="6:18" x14ac:dyDescent="0.3">
      <c r="F2222" t="str">
        <f>IF(A2222="","",4*AVERAGE($E$7:E2222))</f>
        <v/>
      </c>
      <c r="R2222" t="str">
        <f>IF(L2222="","",6*AVERAGE($Q$7:Q2222))</f>
        <v/>
      </c>
    </row>
    <row r="2223" spans="6:18" x14ac:dyDescent="0.3">
      <c r="F2223" t="str">
        <f>IF(A2223="","",4*AVERAGE($E$7:E2223))</f>
        <v/>
      </c>
      <c r="R2223" t="str">
        <f>IF(L2223="","",6*AVERAGE($Q$7:Q2223))</f>
        <v/>
      </c>
    </row>
    <row r="2224" spans="6:18" x14ac:dyDescent="0.3">
      <c r="F2224" t="str">
        <f>IF(A2224="","",4*AVERAGE($E$7:E2224))</f>
        <v/>
      </c>
      <c r="R2224" t="str">
        <f>IF(L2224="","",6*AVERAGE($Q$7:Q2224))</f>
        <v/>
      </c>
    </row>
    <row r="2225" spans="6:18" x14ac:dyDescent="0.3">
      <c r="F2225" t="str">
        <f>IF(A2225="","",4*AVERAGE($E$7:E2225))</f>
        <v/>
      </c>
      <c r="R2225" t="str">
        <f>IF(L2225="","",6*AVERAGE($Q$7:Q2225))</f>
        <v/>
      </c>
    </row>
    <row r="2226" spans="6:18" x14ac:dyDescent="0.3">
      <c r="F2226" t="str">
        <f>IF(A2226="","",4*AVERAGE($E$7:E2226))</f>
        <v/>
      </c>
      <c r="R2226" t="str">
        <f>IF(L2226="","",6*AVERAGE($Q$7:Q2226))</f>
        <v/>
      </c>
    </row>
    <row r="2227" spans="6:18" x14ac:dyDescent="0.3">
      <c r="F2227" t="str">
        <f>IF(A2227="","",4*AVERAGE($E$7:E2227))</f>
        <v/>
      </c>
      <c r="R2227" t="str">
        <f>IF(L2227="","",6*AVERAGE($Q$7:Q2227))</f>
        <v/>
      </c>
    </row>
    <row r="2228" spans="6:18" x14ac:dyDescent="0.3">
      <c r="F2228" t="str">
        <f>IF(A2228="","",4*AVERAGE($E$7:E2228))</f>
        <v/>
      </c>
      <c r="R2228" t="str">
        <f>IF(L2228="","",6*AVERAGE($Q$7:Q2228))</f>
        <v/>
      </c>
    </row>
    <row r="2229" spans="6:18" x14ac:dyDescent="0.3">
      <c r="F2229" t="str">
        <f>IF(A2229="","",4*AVERAGE($E$7:E2229))</f>
        <v/>
      </c>
      <c r="R2229" t="str">
        <f>IF(L2229="","",6*AVERAGE($Q$7:Q2229))</f>
        <v/>
      </c>
    </row>
    <row r="2230" spans="6:18" x14ac:dyDescent="0.3">
      <c r="F2230" t="str">
        <f>IF(A2230="","",4*AVERAGE($E$7:E2230))</f>
        <v/>
      </c>
      <c r="R2230" t="str">
        <f>IF(L2230="","",6*AVERAGE($Q$7:Q2230))</f>
        <v/>
      </c>
    </row>
    <row r="2231" spans="6:18" x14ac:dyDescent="0.3">
      <c r="F2231" t="str">
        <f>IF(A2231="","",4*AVERAGE($E$7:E2231))</f>
        <v/>
      </c>
      <c r="R2231" t="str">
        <f>IF(L2231="","",6*AVERAGE($Q$7:Q2231))</f>
        <v/>
      </c>
    </row>
    <row r="2232" spans="6:18" x14ac:dyDescent="0.3">
      <c r="F2232" t="str">
        <f>IF(A2232="","",4*AVERAGE($E$7:E2232))</f>
        <v/>
      </c>
      <c r="R2232" t="str">
        <f>IF(L2232="","",6*AVERAGE($Q$7:Q2232))</f>
        <v/>
      </c>
    </row>
    <row r="2233" spans="6:18" x14ac:dyDescent="0.3">
      <c r="F2233" t="str">
        <f>IF(A2233="","",4*AVERAGE($E$7:E2233))</f>
        <v/>
      </c>
      <c r="R2233" t="str">
        <f>IF(L2233="","",6*AVERAGE($Q$7:Q2233))</f>
        <v/>
      </c>
    </row>
    <row r="2234" spans="6:18" x14ac:dyDescent="0.3">
      <c r="F2234" t="str">
        <f>IF(A2234="","",4*AVERAGE($E$7:E2234))</f>
        <v/>
      </c>
      <c r="R2234" t="str">
        <f>IF(L2234="","",6*AVERAGE($Q$7:Q2234))</f>
        <v/>
      </c>
    </row>
    <row r="2235" spans="6:18" x14ac:dyDescent="0.3">
      <c r="F2235" t="str">
        <f>IF(A2235="","",4*AVERAGE($E$7:E2235))</f>
        <v/>
      </c>
      <c r="R2235" t="str">
        <f>IF(L2235="","",6*AVERAGE($Q$7:Q2235))</f>
        <v/>
      </c>
    </row>
    <row r="2236" spans="6:18" x14ac:dyDescent="0.3">
      <c r="F2236" t="str">
        <f>IF(A2236="","",4*AVERAGE($E$7:E2236))</f>
        <v/>
      </c>
      <c r="R2236" t="str">
        <f>IF(L2236="","",6*AVERAGE($Q$7:Q2236))</f>
        <v/>
      </c>
    </row>
    <row r="2237" spans="6:18" x14ac:dyDescent="0.3">
      <c r="F2237" t="str">
        <f>IF(A2237="","",4*AVERAGE($E$7:E2237))</f>
        <v/>
      </c>
      <c r="R2237" t="str">
        <f>IF(L2237="","",6*AVERAGE($Q$7:Q2237))</f>
        <v/>
      </c>
    </row>
    <row r="2238" spans="6:18" x14ac:dyDescent="0.3">
      <c r="F2238" t="str">
        <f>IF(A2238="","",4*AVERAGE($E$7:E2238))</f>
        <v/>
      </c>
      <c r="R2238" t="str">
        <f>IF(L2238="","",6*AVERAGE($Q$7:Q2238))</f>
        <v/>
      </c>
    </row>
    <row r="2239" spans="6:18" x14ac:dyDescent="0.3">
      <c r="F2239" t="str">
        <f>IF(A2239="","",4*AVERAGE($E$7:E2239))</f>
        <v/>
      </c>
      <c r="R2239" t="str">
        <f>IF(L2239="","",6*AVERAGE($Q$7:Q2239))</f>
        <v/>
      </c>
    </row>
    <row r="2240" spans="6:18" x14ac:dyDescent="0.3">
      <c r="F2240" t="str">
        <f>IF(A2240="","",4*AVERAGE($E$7:E2240))</f>
        <v/>
      </c>
      <c r="R2240" t="str">
        <f>IF(L2240="","",6*AVERAGE($Q$7:Q2240))</f>
        <v/>
      </c>
    </row>
    <row r="2241" spans="6:18" x14ac:dyDescent="0.3">
      <c r="F2241" t="str">
        <f>IF(A2241="","",4*AVERAGE($E$7:E2241))</f>
        <v/>
      </c>
      <c r="R2241" t="str">
        <f>IF(L2241="","",6*AVERAGE($Q$7:Q2241))</f>
        <v/>
      </c>
    </row>
    <row r="2242" spans="6:18" x14ac:dyDescent="0.3">
      <c r="F2242" t="str">
        <f>IF(A2242="","",4*AVERAGE($E$7:E2242))</f>
        <v/>
      </c>
      <c r="R2242" t="str">
        <f>IF(L2242="","",6*AVERAGE($Q$7:Q2242))</f>
        <v/>
      </c>
    </row>
    <row r="2243" spans="6:18" x14ac:dyDescent="0.3">
      <c r="F2243" t="str">
        <f>IF(A2243="","",4*AVERAGE($E$7:E2243))</f>
        <v/>
      </c>
      <c r="R2243" t="str">
        <f>IF(L2243="","",6*AVERAGE($Q$7:Q2243))</f>
        <v/>
      </c>
    </row>
    <row r="2244" spans="6:18" x14ac:dyDescent="0.3">
      <c r="F2244" t="str">
        <f>IF(A2244="","",4*AVERAGE($E$7:E2244))</f>
        <v/>
      </c>
      <c r="R2244" t="str">
        <f>IF(L2244="","",6*AVERAGE($Q$7:Q2244))</f>
        <v/>
      </c>
    </row>
    <row r="2245" spans="6:18" x14ac:dyDescent="0.3">
      <c r="F2245" t="str">
        <f>IF(A2245="","",4*AVERAGE($E$7:E2245))</f>
        <v/>
      </c>
      <c r="R2245" t="str">
        <f>IF(L2245="","",6*AVERAGE($Q$7:Q2245))</f>
        <v/>
      </c>
    </row>
    <row r="2246" spans="6:18" x14ac:dyDescent="0.3">
      <c r="F2246" t="str">
        <f>IF(A2246="","",4*AVERAGE($E$7:E2246))</f>
        <v/>
      </c>
      <c r="R2246" t="str">
        <f>IF(L2246="","",6*AVERAGE($Q$7:Q2246))</f>
        <v/>
      </c>
    </row>
    <row r="2247" spans="6:18" x14ac:dyDescent="0.3">
      <c r="F2247" t="str">
        <f>IF(A2247="","",4*AVERAGE($E$7:E2247))</f>
        <v/>
      </c>
      <c r="R2247" t="str">
        <f>IF(L2247="","",6*AVERAGE($Q$7:Q2247))</f>
        <v/>
      </c>
    </row>
    <row r="2248" spans="6:18" x14ac:dyDescent="0.3">
      <c r="F2248" t="str">
        <f>IF(A2248="","",4*AVERAGE($E$7:E2248))</f>
        <v/>
      </c>
      <c r="R2248" t="str">
        <f>IF(L2248="","",6*AVERAGE($Q$7:Q2248))</f>
        <v/>
      </c>
    </row>
    <row r="2249" spans="6:18" x14ac:dyDescent="0.3">
      <c r="F2249" t="str">
        <f>IF(A2249="","",4*AVERAGE($E$7:E2249))</f>
        <v/>
      </c>
      <c r="R2249" t="str">
        <f>IF(L2249="","",6*AVERAGE($Q$7:Q2249))</f>
        <v/>
      </c>
    </row>
    <row r="2250" spans="6:18" x14ac:dyDescent="0.3">
      <c r="F2250" t="str">
        <f>IF(A2250="","",4*AVERAGE($E$7:E2250))</f>
        <v/>
      </c>
      <c r="R2250" t="str">
        <f>IF(L2250="","",6*AVERAGE($Q$7:Q2250))</f>
        <v/>
      </c>
    </row>
    <row r="2251" spans="6:18" x14ac:dyDescent="0.3">
      <c r="F2251" t="str">
        <f>IF(A2251="","",4*AVERAGE($E$7:E2251))</f>
        <v/>
      </c>
      <c r="R2251" t="str">
        <f>IF(L2251="","",6*AVERAGE($Q$7:Q2251))</f>
        <v/>
      </c>
    </row>
    <row r="2252" spans="6:18" x14ac:dyDescent="0.3">
      <c r="F2252" t="str">
        <f>IF(A2252="","",4*AVERAGE($E$7:E2252))</f>
        <v/>
      </c>
      <c r="R2252" t="str">
        <f>IF(L2252="","",6*AVERAGE($Q$7:Q2252))</f>
        <v/>
      </c>
    </row>
    <row r="2253" spans="6:18" x14ac:dyDescent="0.3">
      <c r="F2253" t="str">
        <f>IF(A2253="","",4*AVERAGE($E$7:E2253))</f>
        <v/>
      </c>
      <c r="R2253" t="str">
        <f>IF(L2253="","",6*AVERAGE($Q$7:Q2253))</f>
        <v/>
      </c>
    </row>
    <row r="2254" spans="6:18" x14ac:dyDescent="0.3">
      <c r="F2254" t="str">
        <f>IF(A2254="","",4*AVERAGE($E$7:E2254))</f>
        <v/>
      </c>
      <c r="R2254" t="str">
        <f>IF(L2254="","",6*AVERAGE($Q$7:Q2254))</f>
        <v/>
      </c>
    </row>
    <row r="2255" spans="6:18" x14ac:dyDescent="0.3">
      <c r="F2255" t="str">
        <f>IF(A2255="","",4*AVERAGE($E$7:E2255))</f>
        <v/>
      </c>
      <c r="R2255" t="str">
        <f>IF(L2255="","",6*AVERAGE($Q$7:Q2255))</f>
        <v/>
      </c>
    </row>
    <row r="2256" spans="6:18" x14ac:dyDescent="0.3">
      <c r="F2256" t="str">
        <f>IF(A2256="","",4*AVERAGE($E$7:E2256))</f>
        <v/>
      </c>
      <c r="R2256" t="str">
        <f>IF(L2256="","",6*AVERAGE($Q$7:Q2256))</f>
        <v/>
      </c>
    </row>
    <row r="2257" spans="6:18" x14ac:dyDescent="0.3">
      <c r="F2257" t="str">
        <f>IF(A2257="","",4*AVERAGE($E$7:E2257))</f>
        <v/>
      </c>
      <c r="R2257" t="str">
        <f>IF(L2257="","",6*AVERAGE($Q$7:Q2257))</f>
        <v/>
      </c>
    </row>
    <row r="2258" spans="6:18" x14ac:dyDescent="0.3">
      <c r="F2258" t="str">
        <f>IF(A2258="","",4*AVERAGE($E$7:E2258))</f>
        <v/>
      </c>
      <c r="R2258" t="str">
        <f>IF(L2258="","",6*AVERAGE($Q$7:Q2258))</f>
        <v/>
      </c>
    </row>
    <row r="2259" spans="6:18" x14ac:dyDescent="0.3">
      <c r="F2259" t="str">
        <f>IF(A2259="","",4*AVERAGE($E$7:E2259))</f>
        <v/>
      </c>
      <c r="R2259" t="str">
        <f>IF(L2259="","",6*AVERAGE($Q$7:Q2259))</f>
        <v/>
      </c>
    </row>
    <row r="2260" spans="6:18" x14ac:dyDescent="0.3">
      <c r="F2260" t="str">
        <f>IF(A2260="","",4*AVERAGE($E$7:E2260))</f>
        <v/>
      </c>
      <c r="R2260" t="str">
        <f>IF(L2260="","",6*AVERAGE($Q$7:Q2260))</f>
        <v/>
      </c>
    </row>
    <row r="2261" spans="6:18" x14ac:dyDescent="0.3">
      <c r="F2261" t="str">
        <f>IF(A2261="","",4*AVERAGE($E$7:E2261))</f>
        <v/>
      </c>
      <c r="R2261" t="str">
        <f>IF(L2261="","",6*AVERAGE($Q$7:Q2261))</f>
        <v/>
      </c>
    </row>
    <row r="2262" spans="6:18" x14ac:dyDescent="0.3">
      <c r="F2262" t="str">
        <f>IF(A2262="","",4*AVERAGE($E$7:E2262))</f>
        <v/>
      </c>
      <c r="R2262" t="str">
        <f>IF(L2262="","",6*AVERAGE($Q$7:Q2262))</f>
        <v/>
      </c>
    </row>
    <row r="2263" spans="6:18" x14ac:dyDescent="0.3">
      <c r="F2263" t="str">
        <f>IF(A2263="","",4*AVERAGE($E$7:E2263))</f>
        <v/>
      </c>
      <c r="R2263" t="str">
        <f>IF(L2263="","",6*AVERAGE($Q$7:Q2263))</f>
        <v/>
      </c>
    </row>
    <row r="2264" spans="6:18" x14ac:dyDescent="0.3">
      <c r="F2264" t="str">
        <f>IF(A2264="","",4*AVERAGE($E$7:E2264))</f>
        <v/>
      </c>
      <c r="R2264" t="str">
        <f>IF(L2264="","",6*AVERAGE($Q$7:Q2264))</f>
        <v/>
      </c>
    </row>
    <row r="2265" spans="6:18" x14ac:dyDescent="0.3">
      <c r="F2265" t="str">
        <f>IF(A2265="","",4*AVERAGE($E$7:E2265))</f>
        <v/>
      </c>
      <c r="R2265" t="str">
        <f>IF(L2265="","",6*AVERAGE($Q$7:Q2265))</f>
        <v/>
      </c>
    </row>
    <row r="2266" spans="6:18" x14ac:dyDescent="0.3">
      <c r="F2266" t="str">
        <f>IF(A2266="","",4*AVERAGE($E$7:E2266))</f>
        <v/>
      </c>
      <c r="R2266" t="str">
        <f>IF(L2266="","",6*AVERAGE($Q$7:Q2266))</f>
        <v/>
      </c>
    </row>
    <row r="2267" spans="6:18" x14ac:dyDescent="0.3">
      <c r="F2267" t="str">
        <f>IF(A2267="","",4*AVERAGE($E$7:E2267))</f>
        <v/>
      </c>
      <c r="R2267" t="str">
        <f>IF(L2267="","",6*AVERAGE($Q$7:Q2267))</f>
        <v/>
      </c>
    </row>
    <row r="2268" spans="6:18" x14ac:dyDescent="0.3">
      <c r="F2268" t="str">
        <f>IF(A2268="","",4*AVERAGE($E$7:E2268))</f>
        <v/>
      </c>
      <c r="R2268" t="str">
        <f>IF(L2268="","",6*AVERAGE($Q$7:Q2268))</f>
        <v/>
      </c>
    </row>
    <row r="2269" spans="6:18" x14ac:dyDescent="0.3">
      <c r="F2269" t="str">
        <f>IF(A2269="","",4*AVERAGE($E$7:E2269))</f>
        <v/>
      </c>
      <c r="R2269" t="str">
        <f>IF(L2269="","",6*AVERAGE($Q$7:Q2269))</f>
        <v/>
      </c>
    </row>
    <row r="2270" spans="6:18" x14ac:dyDescent="0.3">
      <c r="F2270" t="str">
        <f>IF(A2270="","",4*AVERAGE($E$7:E2270))</f>
        <v/>
      </c>
      <c r="R2270" t="str">
        <f>IF(L2270="","",6*AVERAGE($Q$7:Q2270))</f>
        <v/>
      </c>
    </row>
    <row r="2271" spans="6:18" x14ac:dyDescent="0.3">
      <c r="F2271" t="str">
        <f>IF(A2271="","",4*AVERAGE($E$7:E2271))</f>
        <v/>
      </c>
      <c r="R2271" t="str">
        <f>IF(L2271="","",6*AVERAGE($Q$7:Q2271))</f>
        <v/>
      </c>
    </row>
    <row r="2272" spans="6:18" x14ac:dyDescent="0.3">
      <c r="F2272" t="str">
        <f>IF(A2272="","",4*AVERAGE($E$7:E2272))</f>
        <v/>
      </c>
      <c r="R2272" t="str">
        <f>IF(L2272="","",6*AVERAGE($Q$7:Q2272))</f>
        <v/>
      </c>
    </row>
    <row r="2273" spans="6:18" x14ac:dyDescent="0.3">
      <c r="F2273" t="str">
        <f>IF(A2273="","",4*AVERAGE($E$7:E2273))</f>
        <v/>
      </c>
      <c r="R2273" t="str">
        <f>IF(L2273="","",6*AVERAGE($Q$7:Q2273))</f>
        <v/>
      </c>
    </row>
    <row r="2274" spans="6:18" x14ac:dyDescent="0.3">
      <c r="F2274" t="str">
        <f>IF(A2274="","",4*AVERAGE($E$7:E2274))</f>
        <v/>
      </c>
      <c r="R2274" t="str">
        <f>IF(L2274="","",6*AVERAGE($Q$7:Q2274))</f>
        <v/>
      </c>
    </row>
    <row r="2275" spans="6:18" x14ac:dyDescent="0.3">
      <c r="F2275" t="str">
        <f>IF(A2275="","",4*AVERAGE($E$7:E2275))</f>
        <v/>
      </c>
      <c r="R2275" t="str">
        <f>IF(L2275="","",6*AVERAGE($Q$7:Q2275))</f>
        <v/>
      </c>
    </row>
    <row r="2276" spans="6:18" x14ac:dyDescent="0.3">
      <c r="F2276" t="str">
        <f>IF(A2276="","",4*AVERAGE($E$7:E2276))</f>
        <v/>
      </c>
      <c r="R2276" t="str">
        <f>IF(L2276="","",6*AVERAGE($Q$7:Q2276))</f>
        <v/>
      </c>
    </row>
    <row r="2277" spans="6:18" x14ac:dyDescent="0.3">
      <c r="F2277" t="str">
        <f>IF(A2277="","",4*AVERAGE($E$7:E2277))</f>
        <v/>
      </c>
      <c r="R2277" t="str">
        <f>IF(L2277="","",6*AVERAGE($Q$7:Q2277))</f>
        <v/>
      </c>
    </row>
    <row r="2278" spans="6:18" x14ac:dyDescent="0.3">
      <c r="F2278" t="str">
        <f>IF(A2278="","",4*AVERAGE($E$7:E2278))</f>
        <v/>
      </c>
      <c r="R2278" t="str">
        <f>IF(L2278="","",6*AVERAGE($Q$7:Q2278))</f>
        <v/>
      </c>
    </row>
    <row r="2279" spans="6:18" x14ac:dyDescent="0.3">
      <c r="F2279" t="str">
        <f>IF(A2279="","",4*AVERAGE($E$7:E2279))</f>
        <v/>
      </c>
      <c r="R2279" t="str">
        <f>IF(L2279="","",6*AVERAGE($Q$7:Q2279))</f>
        <v/>
      </c>
    </row>
    <row r="2280" spans="6:18" x14ac:dyDescent="0.3">
      <c r="F2280" t="str">
        <f>IF(A2280="","",4*AVERAGE($E$7:E2280))</f>
        <v/>
      </c>
      <c r="R2280" t="str">
        <f>IF(L2280="","",6*AVERAGE($Q$7:Q2280))</f>
        <v/>
      </c>
    </row>
    <row r="2281" spans="6:18" x14ac:dyDescent="0.3">
      <c r="F2281" t="str">
        <f>IF(A2281="","",4*AVERAGE($E$7:E2281))</f>
        <v/>
      </c>
      <c r="R2281" t="str">
        <f>IF(L2281="","",6*AVERAGE($Q$7:Q2281))</f>
        <v/>
      </c>
    </row>
    <row r="2282" spans="6:18" x14ac:dyDescent="0.3">
      <c r="F2282" t="str">
        <f>IF(A2282="","",4*AVERAGE($E$7:E2282))</f>
        <v/>
      </c>
      <c r="R2282" t="str">
        <f>IF(L2282="","",6*AVERAGE($Q$7:Q2282))</f>
        <v/>
      </c>
    </row>
    <row r="2283" spans="6:18" x14ac:dyDescent="0.3">
      <c r="F2283" t="str">
        <f>IF(A2283="","",4*AVERAGE($E$7:E2283))</f>
        <v/>
      </c>
      <c r="R2283" t="str">
        <f>IF(L2283="","",6*AVERAGE($Q$7:Q2283))</f>
        <v/>
      </c>
    </row>
    <row r="2284" spans="6:18" x14ac:dyDescent="0.3">
      <c r="F2284" t="str">
        <f>IF(A2284="","",4*AVERAGE($E$7:E2284))</f>
        <v/>
      </c>
      <c r="R2284" t="str">
        <f>IF(L2284="","",6*AVERAGE($Q$7:Q2284))</f>
        <v/>
      </c>
    </row>
    <row r="2285" spans="6:18" x14ac:dyDescent="0.3">
      <c r="F2285" t="str">
        <f>IF(A2285="","",4*AVERAGE($E$7:E2285))</f>
        <v/>
      </c>
      <c r="R2285" t="str">
        <f>IF(L2285="","",6*AVERAGE($Q$7:Q2285))</f>
        <v/>
      </c>
    </row>
    <row r="2286" spans="6:18" x14ac:dyDescent="0.3">
      <c r="F2286" t="str">
        <f>IF(A2286="","",4*AVERAGE($E$7:E2286))</f>
        <v/>
      </c>
      <c r="R2286" t="str">
        <f>IF(L2286="","",6*AVERAGE($Q$7:Q2286))</f>
        <v/>
      </c>
    </row>
    <row r="2287" spans="6:18" x14ac:dyDescent="0.3">
      <c r="F2287" t="str">
        <f>IF(A2287="","",4*AVERAGE($E$7:E2287))</f>
        <v/>
      </c>
      <c r="R2287" t="str">
        <f>IF(L2287="","",6*AVERAGE($Q$7:Q2287))</f>
        <v/>
      </c>
    </row>
    <row r="2288" spans="6:18" x14ac:dyDescent="0.3">
      <c r="F2288" t="str">
        <f>IF(A2288="","",4*AVERAGE($E$7:E2288))</f>
        <v/>
      </c>
      <c r="R2288" t="str">
        <f>IF(L2288="","",6*AVERAGE($Q$7:Q2288))</f>
        <v/>
      </c>
    </row>
    <row r="2289" spans="6:18" x14ac:dyDescent="0.3">
      <c r="F2289" t="str">
        <f>IF(A2289="","",4*AVERAGE($E$7:E2289))</f>
        <v/>
      </c>
      <c r="R2289" t="str">
        <f>IF(L2289="","",6*AVERAGE($Q$7:Q2289))</f>
        <v/>
      </c>
    </row>
    <row r="2290" spans="6:18" x14ac:dyDescent="0.3">
      <c r="F2290" t="str">
        <f>IF(A2290="","",4*AVERAGE($E$7:E2290))</f>
        <v/>
      </c>
      <c r="R2290" t="str">
        <f>IF(L2290="","",6*AVERAGE($Q$7:Q2290))</f>
        <v/>
      </c>
    </row>
    <row r="2291" spans="6:18" x14ac:dyDescent="0.3">
      <c r="F2291" t="str">
        <f>IF(A2291="","",4*AVERAGE($E$7:E2291))</f>
        <v/>
      </c>
      <c r="R2291" t="str">
        <f>IF(L2291="","",6*AVERAGE($Q$7:Q2291))</f>
        <v/>
      </c>
    </row>
    <row r="2292" spans="6:18" x14ac:dyDescent="0.3">
      <c r="F2292" t="str">
        <f>IF(A2292="","",4*AVERAGE($E$7:E2292))</f>
        <v/>
      </c>
      <c r="R2292" t="str">
        <f>IF(L2292="","",6*AVERAGE($Q$7:Q2292))</f>
        <v/>
      </c>
    </row>
    <row r="2293" spans="6:18" x14ac:dyDescent="0.3">
      <c r="F2293" t="str">
        <f>IF(A2293="","",4*AVERAGE($E$7:E2293))</f>
        <v/>
      </c>
      <c r="R2293" t="str">
        <f>IF(L2293="","",6*AVERAGE($Q$7:Q2293))</f>
        <v/>
      </c>
    </row>
    <row r="2294" spans="6:18" x14ac:dyDescent="0.3">
      <c r="F2294" t="str">
        <f>IF(A2294="","",4*AVERAGE($E$7:E2294))</f>
        <v/>
      </c>
      <c r="R2294" t="str">
        <f>IF(L2294="","",6*AVERAGE($Q$7:Q2294))</f>
        <v/>
      </c>
    </row>
    <row r="2295" spans="6:18" x14ac:dyDescent="0.3">
      <c r="F2295" t="str">
        <f>IF(A2295="","",4*AVERAGE($E$7:E2295))</f>
        <v/>
      </c>
      <c r="R2295" t="str">
        <f>IF(L2295="","",6*AVERAGE($Q$7:Q2295))</f>
        <v/>
      </c>
    </row>
    <row r="2296" spans="6:18" x14ac:dyDescent="0.3">
      <c r="F2296" t="str">
        <f>IF(A2296="","",4*AVERAGE($E$7:E2296))</f>
        <v/>
      </c>
      <c r="R2296" t="str">
        <f>IF(L2296="","",6*AVERAGE($Q$7:Q2296))</f>
        <v/>
      </c>
    </row>
    <row r="2297" spans="6:18" x14ac:dyDescent="0.3">
      <c r="F2297" t="str">
        <f>IF(A2297="","",4*AVERAGE($E$7:E2297))</f>
        <v/>
      </c>
      <c r="R2297" t="str">
        <f>IF(L2297="","",6*AVERAGE($Q$7:Q2297))</f>
        <v/>
      </c>
    </row>
    <row r="2298" spans="6:18" x14ac:dyDescent="0.3">
      <c r="F2298" t="str">
        <f>IF(A2298="","",4*AVERAGE($E$7:E2298))</f>
        <v/>
      </c>
      <c r="R2298" t="str">
        <f>IF(L2298="","",6*AVERAGE($Q$7:Q2298))</f>
        <v/>
      </c>
    </row>
    <row r="2299" spans="6:18" x14ac:dyDescent="0.3">
      <c r="F2299" t="str">
        <f>IF(A2299="","",4*AVERAGE($E$7:E2299))</f>
        <v/>
      </c>
      <c r="R2299" t="str">
        <f>IF(L2299="","",6*AVERAGE($Q$7:Q2299))</f>
        <v/>
      </c>
    </row>
    <row r="2300" spans="6:18" x14ac:dyDescent="0.3">
      <c r="F2300" t="str">
        <f>IF(A2300="","",4*AVERAGE($E$7:E2300))</f>
        <v/>
      </c>
      <c r="R2300" t="str">
        <f>IF(L2300="","",6*AVERAGE($Q$7:Q2300))</f>
        <v/>
      </c>
    </row>
    <row r="2301" spans="6:18" x14ac:dyDescent="0.3">
      <c r="F2301" t="str">
        <f>IF(A2301="","",4*AVERAGE($E$7:E2301))</f>
        <v/>
      </c>
      <c r="R2301" t="str">
        <f>IF(L2301="","",6*AVERAGE($Q$7:Q2301))</f>
        <v/>
      </c>
    </row>
    <row r="2302" spans="6:18" x14ac:dyDescent="0.3">
      <c r="F2302" t="str">
        <f>IF(A2302="","",4*AVERAGE($E$7:E2302))</f>
        <v/>
      </c>
      <c r="R2302" t="str">
        <f>IF(L2302="","",6*AVERAGE($Q$7:Q2302))</f>
        <v/>
      </c>
    </row>
    <row r="2303" spans="6:18" x14ac:dyDescent="0.3">
      <c r="F2303" t="str">
        <f>IF(A2303="","",4*AVERAGE($E$7:E2303))</f>
        <v/>
      </c>
      <c r="R2303" t="str">
        <f>IF(L2303="","",6*AVERAGE($Q$7:Q2303))</f>
        <v/>
      </c>
    </row>
    <row r="2304" spans="6:18" x14ac:dyDescent="0.3">
      <c r="F2304" t="str">
        <f>IF(A2304="","",4*AVERAGE($E$7:E2304))</f>
        <v/>
      </c>
      <c r="R2304" t="str">
        <f>IF(L2304="","",6*AVERAGE($Q$7:Q2304))</f>
        <v/>
      </c>
    </row>
    <row r="2305" spans="6:18" x14ac:dyDescent="0.3">
      <c r="F2305" t="str">
        <f>IF(A2305="","",4*AVERAGE($E$7:E2305))</f>
        <v/>
      </c>
      <c r="R2305" t="str">
        <f>IF(L2305="","",6*AVERAGE($Q$7:Q2305))</f>
        <v/>
      </c>
    </row>
    <row r="2306" spans="6:18" x14ac:dyDescent="0.3">
      <c r="F2306" t="str">
        <f>IF(A2306="","",4*AVERAGE($E$7:E2306))</f>
        <v/>
      </c>
      <c r="R2306" t="str">
        <f>IF(L2306="","",6*AVERAGE($Q$7:Q2306))</f>
        <v/>
      </c>
    </row>
    <row r="2307" spans="6:18" x14ac:dyDescent="0.3">
      <c r="F2307" t="str">
        <f>IF(A2307="","",4*AVERAGE($E$7:E2307))</f>
        <v/>
      </c>
      <c r="R2307" t="str">
        <f>IF(L2307="","",6*AVERAGE($Q$7:Q2307))</f>
        <v/>
      </c>
    </row>
    <row r="2308" spans="6:18" x14ac:dyDescent="0.3">
      <c r="F2308" t="str">
        <f>IF(A2308="","",4*AVERAGE($E$7:E2308))</f>
        <v/>
      </c>
      <c r="R2308" t="str">
        <f>IF(L2308="","",6*AVERAGE($Q$7:Q2308))</f>
        <v/>
      </c>
    </row>
    <row r="2309" spans="6:18" x14ac:dyDescent="0.3">
      <c r="F2309" t="str">
        <f>IF(A2309="","",4*AVERAGE($E$7:E2309))</f>
        <v/>
      </c>
      <c r="R2309" t="str">
        <f>IF(L2309="","",6*AVERAGE($Q$7:Q2309))</f>
        <v/>
      </c>
    </row>
    <row r="2310" spans="6:18" x14ac:dyDescent="0.3">
      <c r="F2310" t="str">
        <f>IF(A2310="","",4*AVERAGE($E$7:E2310))</f>
        <v/>
      </c>
      <c r="R2310" t="str">
        <f>IF(L2310="","",6*AVERAGE($Q$7:Q2310))</f>
        <v/>
      </c>
    </row>
    <row r="2311" spans="6:18" x14ac:dyDescent="0.3">
      <c r="F2311" t="str">
        <f>IF(A2311="","",4*AVERAGE($E$7:E2311))</f>
        <v/>
      </c>
      <c r="R2311" t="str">
        <f>IF(L2311="","",6*AVERAGE($Q$7:Q2311))</f>
        <v/>
      </c>
    </row>
    <row r="2312" spans="6:18" x14ac:dyDescent="0.3">
      <c r="F2312" t="str">
        <f>IF(A2312="","",4*AVERAGE($E$7:E2312))</f>
        <v/>
      </c>
      <c r="R2312" t="str">
        <f>IF(L2312="","",6*AVERAGE($Q$7:Q2312))</f>
        <v/>
      </c>
    </row>
    <row r="2313" spans="6:18" x14ac:dyDescent="0.3">
      <c r="F2313" t="str">
        <f>IF(A2313="","",4*AVERAGE($E$7:E2313))</f>
        <v/>
      </c>
      <c r="R2313" t="str">
        <f>IF(L2313="","",6*AVERAGE($Q$7:Q2313))</f>
        <v/>
      </c>
    </row>
    <row r="2314" spans="6:18" x14ac:dyDescent="0.3">
      <c r="F2314" t="str">
        <f>IF(A2314="","",4*AVERAGE($E$7:E2314))</f>
        <v/>
      </c>
      <c r="R2314" t="str">
        <f>IF(L2314="","",6*AVERAGE($Q$7:Q2314))</f>
        <v/>
      </c>
    </row>
    <row r="2315" spans="6:18" x14ac:dyDescent="0.3">
      <c r="F2315" t="str">
        <f>IF(A2315="","",4*AVERAGE($E$7:E2315))</f>
        <v/>
      </c>
      <c r="R2315" t="str">
        <f>IF(L2315="","",6*AVERAGE($Q$7:Q2315))</f>
        <v/>
      </c>
    </row>
    <row r="2316" spans="6:18" x14ac:dyDescent="0.3">
      <c r="F2316" t="str">
        <f>IF(A2316="","",4*AVERAGE($E$7:E2316))</f>
        <v/>
      </c>
      <c r="R2316" t="str">
        <f>IF(L2316="","",6*AVERAGE($Q$7:Q2316))</f>
        <v/>
      </c>
    </row>
    <row r="2317" spans="6:18" x14ac:dyDescent="0.3">
      <c r="F2317" t="str">
        <f>IF(A2317="","",4*AVERAGE($E$7:E2317))</f>
        <v/>
      </c>
      <c r="R2317" t="str">
        <f>IF(L2317="","",6*AVERAGE($Q$7:Q2317))</f>
        <v/>
      </c>
    </row>
    <row r="2318" spans="6:18" x14ac:dyDescent="0.3">
      <c r="F2318" t="str">
        <f>IF(A2318="","",4*AVERAGE($E$7:E2318))</f>
        <v/>
      </c>
      <c r="R2318" t="str">
        <f>IF(L2318="","",6*AVERAGE($Q$7:Q2318))</f>
        <v/>
      </c>
    </row>
    <row r="2319" spans="6:18" x14ac:dyDescent="0.3">
      <c r="F2319" t="str">
        <f>IF(A2319="","",4*AVERAGE($E$7:E2319))</f>
        <v/>
      </c>
      <c r="R2319" t="str">
        <f>IF(L2319="","",6*AVERAGE($Q$7:Q2319))</f>
        <v/>
      </c>
    </row>
    <row r="2320" spans="6:18" x14ac:dyDescent="0.3">
      <c r="F2320" t="str">
        <f>IF(A2320="","",4*AVERAGE($E$7:E2320))</f>
        <v/>
      </c>
      <c r="R2320" t="str">
        <f>IF(L2320="","",6*AVERAGE($Q$7:Q2320))</f>
        <v/>
      </c>
    </row>
    <row r="2321" spans="6:18" x14ac:dyDescent="0.3">
      <c r="F2321" t="str">
        <f>IF(A2321="","",4*AVERAGE($E$7:E2321))</f>
        <v/>
      </c>
      <c r="R2321" t="str">
        <f>IF(L2321="","",6*AVERAGE($Q$7:Q2321))</f>
        <v/>
      </c>
    </row>
    <row r="2322" spans="6:18" x14ac:dyDescent="0.3">
      <c r="F2322" t="str">
        <f>IF(A2322="","",4*AVERAGE($E$7:E2322))</f>
        <v/>
      </c>
      <c r="R2322" t="str">
        <f>IF(L2322="","",6*AVERAGE($Q$7:Q2322))</f>
        <v/>
      </c>
    </row>
    <row r="2323" spans="6:18" x14ac:dyDescent="0.3">
      <c r="F2323" t="str">
        <f>IF(A2323="","",4*AVERAGE($E$7:E2323))</f>
        <v/>
      </c>
      <c r="R2323" t="str">
        <f>IF(L2323="","",6*AVERAGE($Q$7:Q2323))</f>
        <v/>
      </c>
    </row>
    <row r="2324" spans="6:18" x14ac:dyDescent="0.3">
      <c r="F2324" t="str">
        <f>IF(A2324="","",4*AVERAGE($E$7:E2324))</f>
        <v/>
      </c>
      <c r="R2324" t="str">
        <f>IF(L2324="","",6*AVERAGE($Q$7:Q2324))</f>
        <v/>
      </c>
    </row>
    <row r="2325" spans="6:18" x14ac:dyDescent="0.3">
      <c r="F2325" t="str">
        <f>IF(A2325="","",4*AVERAGE($E$7:E2325))</f>
        <v/>
      </c>
      <c r="R2325" t="str">
        <f>IF(L2325="","",6*AVERAGE($Q$7:Q2325))</f>
        <v/>
      </c>
    </row>
    <row r="2326" spans="6:18" x14ac:dyDescent="0.3">
      <c r="F2326" t="str">
        <f>IF(A2326="","",4*AVERAGE($E$7:E2326))</f>
        <v/>
      </c>
      <c r="R2326" t="str">
        <f>IF(L2326="","",6*AVERAGE($Q$7:Q2326))</f>
        <v/>
      </c>
    </row>
    <row r="2327" spans="6:18" x14ac:dyDescent="0.3">
      <c r="F2327" t="str">
        <f>IF(A2327="","",4*AVERAGE($E$7:E2327))</f>
        <v/>
      </c>
      <c r="R2327" t="str">
        <f>IF(L2327="","",6*AVERAGE($Q$7:Q2327))</f>
        <v/>
      </c>
    </row>
    <row r="2328" spans="6:18" x14ac:dyDescent="0.3">
      <c r="F2328" t="str">
        <f>IF(A2328="","",4*AVERAGE($E$7:E2328))</f>
        <v/>
      </c>
      <c r="R2328" t="str">
        <f>IF(L2328="","",6*AVERAGE($Q$7:Q2328))</f>
        <v/>
      </c>
    </row>
    <row r="2329" spans="6:18" x14ac:dyDescent="0.3">
      <c r="F2329" t="str">
        <f>IF(A2329="","",4*AVERAGE($E$7:E2329))</f>
        <v/>
      </c>
      <c r="R2329" t="str">
        <f>IF(L2329="","",6*AVERAGE($Q$7:Q2329))</f>
        <v/>
      </c>
    </row>
    <row r="2330" spans="6:18" x14ac:dyDescent="0.3">
      <c r="F2330" t="str">
        <f>IF(A2330="","",4*AVERAGE($E$7:E2330))</f>
        <v/>
      </c>
      <c r="R2330" t="str">
        <f>IF(L2330="","",6*AVERAGE($Q$7:Q2330))</f>
        <v/>
      </c>
    </row>
    <row r="2331" spans="6:18" x14ac:dyDescent="0.3">
      <c r="F2331" t="str">
        <f>IF(A2331="","",4*AVERAGE($E$7:E2331))</f>
        <v/>
      </c>
      <c r="R2331" t="str">
        <f>IF(L2331="","",6*AVERAGE($Q$7:Q2331))</f>
        <v/>
      </c>
    </row>
    <row r="2332" spans="6:18" x14ac:dyDescent="0.3">
      <c r="F2332" t="str">
        <f>IF(A2332="","",4*AVERAGE($E$7:E2332))</f>
        <v/>
      </c>
      <c r="R2332" t="str">
        <f>IF(L2332="","",6*AVERAGE($Q$7:Q2332))</f>
        <v/>
      </c>
    </row>
    <row r="2333" spans="6:18" x14ac:dyDescent="0.3">
      <c r="F2333" t="str">
        <f>IF(A2333="","",4*AVERAGE($E$7:E2333))</f>
        <v/>
      </c>
      <c r="R2333" t="str">
        <f>IF(L2333="","",6*AVERAGE($Q$7:Q2333))</f>
        <v/>
      </c>
    </row>
    <row r="2334" spans="6:18" x14ac:dyDescent="0.3">
      <c r="F2334" t="str">
        <f>IF(A2334="","",4*AVERAGE($E$7:E2334))</f>
        <v/>
      </c>
      <c r="R2334" t="str">
        <f>IF(L2334="","",6*AVERAGE($Q$7:Q2334))</f>
        <v/>
      </c>
    </row>
    <row r="2335" spans="6:18" x14ac:dyDescent="0.3">
      <c r="F2335" t="str">
        <f>IF(A2335="","",4*AVERAGE($E$7:E2335))</f>
        <v/>
      </c>
      <c r="R2335" t="str">
        <f>IF(L2335="","",6*AVERAGE($Q$7:Q2335))</f>
        <v/>
      </c>
    </row>
    <row r="2336" spans="6:18" x14ac:dyDescent="0.3">
      <c r="F2336" t="str">
        <f>IF(A2336="","",4*AVERAGE($E$7:E2336))</f>
        <v/>
      </c>
      <c r="R2336" t="str">
        <f>IF(L2336="","",6*AVERAGE($Q$7:Q2336))</f>
        <v/>
      </c>
    </row>
    <row r="2337" spans="6:18" x14ac:dyDescent="0.3">
      <c r="F2337" t="str">
        <f>IF(A2337="","",4*AVERAGE($E$7:E2337))</f>
        <v/>
      </c>
      <c r="R2337" t="str">
        <f>IF(L2337="","",6*AVERAGE($Q$7:Q2337))</f>
        <v/>
      </c>
    </row>
    <row r="2338" spans="6:18" x14ac:dyDescent="0.3">
      <c r="F2338" t="str">
        <f>IF(A2338="","",4*AVERAGE($E$7:E2338))</f>
        <v/>
      </c>
      <c r="R2338" t="str">
        <f>IF(L2338="","",6*AVERAGE($Q$7:Q2338))</f>
        <v/>
      </c>
    </row>
    <row r="2339" spans="6:18" x14ac:dyDescent="0.3">
      <c r="F2339" t="str">
        <f>IF(A2339="","",4*AVERAGE($E$7:E2339))</f>
        <v/>
      </c>
      <c r="R2339" t="str">
        <f>IF(L2339="","",6*AVERAGE($Q$7:Q2339))</f>
        <v/>
      </c>
    </row>
    <row r="2340" spans="6:18" x14ac:dyDescent="0.3">
      <c r="F2340" t="str">
        <f>IF(A2340="","",4*AVERAGE($E$7:E2340))</f>
        <v/>
      </c>
      <c r="R2340" t="str">
        <f>IF(L2340="","",6*AVERAGE($Q$7:Q2340))</f>
        <v/>
      </c>
    </row>
    <row r="2341" spans="6:18" x14ac:dyDescent="0.3">
      <c r="F2341" t="str">
        <f>IF(A2341="","",4*AVERAGE($E$7:E2341))</f>
        <v/>
      </c>
      <c r="R2341" t="str">
        <f>IF(L2341="","",6*AVERAGE($Q$7:Q2341))</f>
        <v/>
      </c>
    </row>
    <row r="2342" spans="6:18" x14ac:dyDescent="0.3">
      <c r="F2342" t="str">
        <f>IF(A2342="","",4*AVERAGE($E$7:E2342))</f>
        <v/>
      </c>
      <c r="R2342" t="str">
        <f>IF(L2342="","",6*AVERAGE($Q$7:Q2342))</f>
        <v/>
      </c>
    </row>
    <row r="2343" spans="6:18" x14ac:dyDescent="0.3">
      <c r="F2343" t="str">
        <f>IF(A2343="","",4*AVERAGE($E$7:E2343))</f>
        <v/>
      </c>
      <c r="R2343" t="str">
        <f>IF(L2343="","",6*AVERAGE($Q$7:Q2343))</f>
        <v/>
      </c>
    </row>
    <row r="2344" spans="6:18" x14ac:dyDescent="0.3">
      <c r="F2344" t="str">
        <f>IF(A2344="","",4*AVERAGE($E$7:E2344))</f>
        <v/>
      </c>
      <c r="R2344" t="str">
        <f>IF(L2344="","",6*AVERAGE($Q$7:Q2344))</f>
        <v/>
      </c>
    </row>
    <row r="2345" spans="6:18" x14ac:dyDescent="0.3">
      <c r="F2345" t="str">
        <f>IF(A2345="","",4*AVERAGE($E$7:E2345))</f>
        <v/>
      </c>
      <c r="R2345" t="str">
        <f>IF(L2345="","",6*AVERAGE($Q$7:Q2345))</f>
        <v/>
      </c>
    </row>
    <row r="2346" spans="6:18" x14ac:dyDescent="0.3">
      <c r="F2346" t="str">
        <f>IF(A2346="","",4*AVERAGE($E$7:E2346))</f>
        <v/>
      </c>
      <c r="R2346" t="str">
        <f>IF(L2346="","",6*AVERAGE($Q$7:Q2346))</f>
        <v/>
      </c>
    </row>
    <row r="2347" spans="6:18" x14ac:dyDescent="0.3">
      <c r="F2347" t="str">
        <f>IF(A2347="","",4*AVERAGE($E$7:E2347))</f>
        <v/>
      </c>
      <c r="R2347" t="str">
        <f>IF(L2347="","",6*AVERAGE($Q$7:Q2347))</f>
        <v/>
      </c>
    </row>
    <row r="2348" spans="6:18" x14ac:dyDescent="0.3">
      <c r="F2348" t="str">
        <f>IF(A2348="","",4*AVERAGE($E$7:E2348))</f>
        <v/>
      </c>
      <c r="R2348" t="str">
        <f>IF(L2348="","",6*AVERAGE($Q$7:Q2348))</f>
        <v/>
      </c>
    </row>
    <row r="2349" spans="6:18" x14ac:dyDescent="0.3">
      <c r="F2349" t="str">
        <f>IF(A2349="","",4*AVERAGE($E$7:E2349))</f>
        <v/>
      </c>
      <c r="R2349" t="str">
        <f>IF(L2349="","",6*AVERAGE($Q$7:Q2349))</f>
        <v/>
      </c>
    </row>
    <row r="2350" spans="6:18" x14ac:dyDescent="0.3">
      <c r="F2350" t="str">
        <f>IF(A2350="","",4*AVERAGE($E$7:E2350))</f>
        <v/>
      </c>
      <c r="R2350" t="str">
        <f>IF(L2350="","",6*AVERAGE($Q$7:Q2350))</f>
        <v/>
      </c>
    </row>
    <row r="2351" spans="6:18" x14ac:dyDescent="0.3">
      <c r="F2351" t="str">
        <f>IF(A2351="","",4*AVERAGE($E$7:E2351))</f>
        <v/>
      </c>
      <c r="R2351" t="str">
        <f>IF(L2351="","",6*AVERAGE($Q$7:Q2351))</f>
        <v/>
      </c>
    </row>
    <row r="2352" spans="6:18" x14ac:dyDescent="0.3">
      <c r="F2352" t="str">
        <f>IF(A2352="","",4*AVERAGE($E$7:E2352))</f>
        <v/>
      </c>
      <c r="R2352" t="str">
        <f>IF(L2352="","",6*AVERAGE($Q$7:Q2352))</f>
        <v/>
      </c>
    </row>
    <row r="2353" spans="6:18" x14ac:dyDescent="0.3">
      <c r="F2353" t="str">
        <f>IF(A2353="","",4*AVERAGE($E$7:E2353))</f>
        <v/>
      </c>
      <c r="R2353" t="str">
        <f>IF(L2353="","",6*AVERAGE($Q$7:Q2353))</f>
        <v/>
      </c>
    </row>
    <row r="2354" spans="6:18" x14ac:dyDescent="0.3">
      <c r="F2354" t="str">
        <f>IF(A2354="","",4*AVERAGE($E$7:E2354))</f>
        <v/>
      </c>
      <c r="R2354" t="str">
        <f>IF(L2354="","",6*AVERAGE($Q$7:Q2354))</f>
        <v/>
      </c>
    </row>
    <row r="2355" spans="6:18" x14ac:dyDescent="0.3">
      <c r="F2355" t="str">
        <f>IF(A2355="","",4*AVERAGE($E$7:E2355))</f>
        <v/>
      </c>
      <c r="R2355" t="str">
        <f>IF(L2355="","",6*AVERAGE($Q$7:Q2355))</f>
        <v/>
      </c>
    </row>
    <row r="2356" spans="6:18" x14ac:dyDescent="0.3">
      <c r="F2356" t="str">
        <f>IF(A2356="","",4*AVERAGE($E$7:E2356))</f>
        <v/>
      </c>
      <c r="R2356" t="str">
        <f>IF(L2356="","",6*AVERAGE($Q$7:Q2356))</f>
        <v/>
      </c>
    </row>
    <row r="2357" spans="6:18" x14ac:dyDescent="0.3">
      <c r="F2357" t="str">
        <f>IF(A2357="","",4*AVERAGE($E$7:E2357))</f>
        <v/>
      </c>
      <c r="R2357" t="str">
        <f>IF(L2357="","",6*AVERAGE($Q$7:Q2357))</f>
        <v/>
      </c>
    </row>
    <row r="2358" spans="6:18" x14ac:dyDescent="0.3">
      <c r="F2358" t="str">
        <f>IF(A2358="","",4*AVERAGE($E$7:E2358))</f>
        <v/>
      </c>
      <c r="R2358" t="str">
        <f>IF(L2358="","",6*AVERAGE($Q$7:Q2358))</f>
        <v/>
      </c>
    </row>
    <row r="2359" spans="6:18" x14ac:dyDescent="0.3">
      <c r="F2359" t="str">
        <f>IF(A2359="","",4*AVERAGE($E$7:E2359))</f>
        <v/>
      </c>
      <c r="R2359" t="str">
        <f>IF(L2359="","",6*AVERAGE($Q$7:Q2359))</f>
        <v/>
      </c>
    </row>
    <row r="2360" spans="6:18" x14ac:dyDescent="0.3">
      <c r="F2360" t="str">
        <f>IF(A2360="","",4*AVERAGE($E$7:E2360))</f>
        <v/>
      </c>
      <c r="R2360" t="str">
        <f>IF(L2360="","",6*AVERAGE($Q$7:Q2360))</f>
        <v/>
      </c>
    </row>
    <row r="2361" spans="6:18" x14ac:dyDescent="0.3">
      <c r="F2361" t="str">
        <f>IF(A2361="","",4*AVERAGE($E$7:E2361))</f>
        <v/>
      </c>
      <c r="R2361" t="str">
        <f>IF(L2361="","",6*AVERAGE($Q$7:Q2361))</f>
        <v/>
      </c>
    </row>
    <row r="2362" spans="6:18" x14ac:dyDescent="0.3">
      <c r="F2362" t="str">
        <f>IF(A2362="","",4*AVERAGE($E$7:E2362))</f>
        <v/>
      </c>
      <c r="R2362" t="str">
        <f>IF(L2362="","",6*AVERAGE($Q$7:Q2362))</f>
        <v/>
      </c>
    </row>
    <row r="2363" spans="6:18" x14ac:dyDescent="0.3">
      <c r="F2363" t="str">
        <f>IF(A2363="","",4*AVERAGE($E$7:E2363))</f>
        <v/>
      </c>
      <c r="R2363" t="str">
        <f>IF(L2363="","",6*AVERAGE($Q$7:Q2363))</f>
        <v/>
      </c>
    </row>
    <row r="2364" spans="6:18" x14ac:dyDescent="0.3">
      <c r="F2364" t="str">
        <f>IF(A2364="","",4*AVERAGE($E$7:E2364))</f>
        <v/>
      </c>
      <c r="R2364" t="str">
        <f>IF(L2364="","",6*AVERAGE($Q$7:Q2364))</f>
        <v/>
      </c>
    </row>
    <row r="2365" spans="6:18" x14ac:dyDescent="0.3">
      <c r="F2365" t="str">
        <f>IF(A2365="","",4*AVERAGE($E$7:E2365))</f>
        <v/>
      </c>
      <c r="R2365" t="str">
        <f>IF(L2365="","",6*AVERAGE($Q$7:Q2365))</f>
        <v/>
      </c>
    </row>
    <row r="2366" spans="6:18" x14ac:dyDescent="0.3">
      <c r="F2366" t="str">
        <f>IF(A2366="","",4*AVERAGE($E$7:E2366))</f>
        <v/>
      </c>
      <c r="R2366" t="str">
        <f>IF(L2366="","",6*AVERAGE($Q$7:Q2366))</f>
        <v/>
      </c>
    </row>
    <row r="2367" spans="6:18" x14ac:dyDescent="0.3">
      <c r="F2367" t="str">
        <f>IF(A2367="","",4*AVERAGE($E$7:E2367))</f>
        <v/>
      </c>
      <c r="R2367" t="str">
        <f>IF(L2367="","",6*AVERAGE($Q$7:Q2367))</f>
        <v/>
      </c>
    </row>
    <row r="2368" spans="6:18" x14ac:dyDescent="0.3">
      <c r="F2368" t="str">
        <f>IF(A2368="","",4*AVERAGE($E$7:E2368))</f>
        <v/>
      </c>
      <c r="R2368" t="str">
        <f>IF(L2368="","",6*AVERAGE($Q$7:Q2368))</f>
        <v/>
      </c>
    </row>
    <row r="2369" spans="6:18" x14ac:dyDescent="0.3">
      <c r="F2369" t="str">
        <f>IF(A2369="","",4*AVERAGE($E$7:E2369))</f>
        <v/>
      </c>
      <c r="R2369" t="str">
        <f>IF(L2369="","",6*AVERAGE($Q$7:Q2369))</f>
        <v/>
      </c>
    </row>
    <row r="2370" spans="6:18" x14ac:dyDescent="0.3">
      <c r="F2370" t="str">
        <f>IF(A2370="","",4*AVERAGE($E$7:E2370))</f>
        <v/>
      </c>
      <c r="R2370" t="str">
        <f>IF(L2370="","",6*AVERAGE($Q$7:Q2370))</f>
        <v/>
      </c>
    </row>
    <row r="2371" spans="6:18" x14ac:dyDescent="0.3">
      <c r="F2371" t="str">
        <f>IF(A2371="","",4*AVERAGE($E$7:E2371))</f>
        <v/>
      </c>
      <c r="R2371" t="str">
        <f>IF(L2371="","",6*AVERAGE($Q$7:Q2371))</f>
        <v/>
      </c>
    </row>
    <row r="2372" spans="6:18" x14ac:dyDescent="0.3">
      <c r="F2372" t="str">
        <f>IF(A2372="","",4*AVERAGE($E$7:E2372))</f>
        <v/>
      </c>
      <c r="R2372" t="str">
        <f>IF(L2372="","",6*AVERAGE($Q$7:Q2372))</f>
        <v/>
      </c>
    </row>
    <row r="2373" spans="6:18" x14ac:dyDescent="0.3">
      <c r="F2373" t="str">
        <f>IF(A2373="","",4*AVERAGE($E$7:E2373))</f>
        <v/>
      </c>
      <c r="R2373" t="str">
        <f>IF(L2373="","",6*AVERAGE($Q$7:Q2373))</f>
        <v/>
      </c>
    </row>
    <row r="2374" spans="6:18" x14ac:dyDescent="0.3">
      <c r="F2374" t="str">
        <f>IF(A2374="","",4*AVERAGE($E$7:E2374))</f>
        <v/>
      </c>
      <c r="R2374" t="str">
        <f>IF(L2374="","",6*AVERAGE($Q$7:Q2374))</f>
        <v/>
      </c>
    </row>
    <row r="2375" spans="6:18" x14ac:dyDescent="0.3">
      <c r="F2375" t="str">
        <f>IF(A2375="","",4*AVERAGE($E$7:E2375))</f>
        <v/>
      </c>
      <c r="R2375" t="str">
        <f>IF(L2375="","",6*AVERAGE($Q$7:Q2375))</f>
        <v/>
      </c>
    </row>
    <row r="2376" spans="6:18" x14ac:dyDescent="0.3">
      <c r="F2376" t="str">
        <f>IF(A2376="","",4*AVERAGE($E$7:E2376))</f>
        <v/>
      </c>
      <c r="R2376" t="str">
        <f>IF(L2376="","",6*AVERAGE($Q$7:Q2376))</f>
        <v/>
      </c>
    </row>
    <row r="2377" spans="6:18" x14ac:dyDescent="0.3">
      <c r="F2377" t="str">
        <f>IF(A2377="","",4*AVERAGE($E$7:E2377))</f>
        <v/>
      </c>
      <c r="R2377" t="str">
        <f>IF(L2377="","",6*AVERAGE($Q$7:Q2377))</f>
        <v/>
      </c>
    </row>
    <row r="2378" spans="6:18" x14ac:dyDescent="0.3">
      <c r="F2378" t="str">
        <f>IF(A2378="","",4*AVERAGE($E$7:E2378))</f>
        <v/>
      </c>
      <c r="R2378" t="str">
        <f>IF(L2378="","",6*AVERAGE($Q$7:Q2378))</f>
        <v/>
      </c>
    </row>
    <row r="2379" spans="6:18" x14ac:dyDescent="0.3">
      <c r="F2379" t="str">
        <f>IF(A2379="","",4*AVERAGE($E$7:E2379))</f>
        <v/>
      </c>
      <c r="R2379" t="str">
        <f>IF(L2379="","",6*AVERAGE($Q$7:Q2379))</f>
        <v/>
      </c>
    </row>
    <row r="2380" spans="6:18" x14ac:dyDescent="0.3">
      <c r="F2380" t="str">
        <f>IF(A2380="","",4*AVERAGE($E$7:E2380))</f>
        <v/>
      </c>
      <c r="R2380" t="str">
        <f>IF(L2380="","",6*AVERAGE($Q$7:Q2380))</f>
        <v/>
      </c>
    </row>
    <row r="2381" spans="6:18" x14ac:dyDescent="0.3">
      <c r="F2381" t="str">
        <f>IF(A2381="","",4*AVERAGE($E$7:E2381))</f>
        <v/>
      </c>
      <c r="R2381" t="str">
        <f>IF(L2381="","",6*AVERAGE($Q$7:Q2381))</f>
        <v/>
      </c>
    </row>
    <row r="2382" spans="6:18" x14ac:dyDescent="0.3">
      <c r="F2382" t="str">
        <f>IF(A2382="","",4*AVERAGE($E$7:E2382))</f>
        <v/>
      </c>
      <c r="R2382" t="str">
        <f>IF(L2382="","",6*AVERAGE($Q$7:Q2382))</f>
        <v/>
      </c>
    </row>
    <row r="2383" spans="6:18" x14ac:dyDescent="0.3">
      <c r="F2383" t="str">
        <f>IF(A2383="","",4*AVERAGE($E$7:E2383))</f>
        <v/>
      </c>
      <c r="R2383" t="str">
        <f>IF(L2383="","",6*AVERAGE($Q$7:Q2383))</f>
        <v/>
      </c>
    </row>
    <row r="2384" spans="6:18" x14ac:dyDescent="0.3">
      <c r="F2384" t="str">
        <f>IF(A2384="","",4*AVERAGE($E$7:E2384))</f>
        <v/>
      </c>
      <c r="R2384" t="str">
        <f>IF(L2384="","",6*AVERAGE($Q$7:Q2384))</f>
        <v/>
      </c>
    </row>
    <row r="2385" spans="6:18" x14ac:dyDescent="0.3">
      <c r="F2385" t="str">
        <f>IF(A2385="","",4*AVERAGE($E$7:E2385))</f>
        <v/>
      </c>
      <c r="R2385" t="str">
        <f>IF(L2385="","",6*AVERAGE($Q$7:Q2385))</f>
        <v/>
      </c>
    </row>
    <row r="2386" spans="6:18" x14ac:dyDescent="0.3">
      <c r="F2386" t="str">
        <f>IF(A2386="","",4*AVERAGE($E$7:E2386))</f>
        <v/>
      </c>
      <c r="R2386" t="str">
        <f>IF(L2386="","",6*AVERAGE($Q$7:Q2386))</f>
        <v/>
      </c>
    </row>
    <row r="2387" spans="6:18" x14ac:dyDescent="0.3">
      <c r="F2387" t="str">
        <f>IF(A2387="","",4*AVERAGE($E$7:E2387))</f>
        <v/>
      </c>
      <c r="R2387" t="str">
        <f>IF(L2387="","",6*AVERAGE($Q$7:Q2387))</f>
        <v/>
      </c>
    </row>
    <row r="2388" spans="6:18" x14ac:dyDescent="0.3">
      <c r="F2388" t="str">
        <f>IF(A2388="","",4*AVERAGE($E$7:E2388))</f>
        <v/>
      </c>
      <c r="R2388" t="str">
        <f>IF(L2388="","",6*AVERAGE($Q$7:Q2388))</f>
        <v/>
      </c>
    </row>
    <row r="2389" spans="6:18" x14ac:dyDescent="0.3">
      <c r="F2389" t="str">
        <f>IF(A2389="","",4*AVERAGE($E$7:E2389))</f>
        <v/>
      </c>
      <c r="R2389" t="str">
        <f>IF(L2389="","",6*AVERAGE($Q$7:Q2389))</f>
        <v/>
      </c>
    </row>
    <row r="2390" spans="6:18" x14ac:dyDescent="0.3">
      <c r="F2390" t="str">
        <f>IF(A2390="","",4*AVERAGE($E$7:E2390))</f>
        <v/>
      </c>
      <c r="R2390" t="str">
        <f>IF(L2390="","",6*AVERAGE($Q$7:Q2390))</f>
        <v/>
      </c>
    </row>
    <row r="2391" spans="6:18" x14ac:dyDescent="0.3">
      <c r="F2391" t="str">
        <f>IF(A2391="","",4*AVERAGE($E$7:E2391))</f>
        <v/>
      </c>
      <c r="R2391" t="str">
        <f>IF(L2391="","",6*AVERAGE($Q$7:Q2391))</f>
        <v/>
      </c>
    </row>
    <row r="2392" spans="6:18" x14ac:dyDescent="0.3">
      <c r="F2392" t="str">
        <f>IF(A2392="","",4*AVERAGE($E$7:E2392))</f>
        <v/>
      </c>
      <c r="R2392" t="str">
        <f>IF(L2392="","",6*AVERAGE($Q$7:Q2392))</f>
        <v/>
      </c>
    </row>
    <row r="2393" spans="6:18" x14ac:dyDescent="0.3">
      <c r="F2393" t="str">
        <f>IF(A2393="","",4*AVERAGE($E$7:E2393))</f>
        <v/>
      </c>
      <c r="R2393" t="str">
        <f>IF(L2393="","",6*AVERAGE($Q$7:Q2393))</f>
        <v/>
      </c>
    </row>
    <row r="2394" spans="6:18" x14ac:dyDescent="0.3">
      <c r="F2394" t="str">
        <f>IF(A2394="","",4*AVERAGE($E$7:E2394))</f>
        <v/>
      </c>
      <c r="R2394" t="str">
        <f>IF(L2394="","",6*AVERAGE($Q$7:Q2394))</f>
        <v/>
      </c>
    </row>
    <row r="2395" spans="6:18" x14ac:dyDescent="0.3">
      <c r="F2395" t="str">
        <f>IF(A2395="","",4*AVERAGE($E$7:E2395))</f>
        <v/>
      </c>
      <c r="R2395" t="str">
        <f>IF(L2395="","",6*AVERAGE($Q$7:Q2395))</f>
        <v/>
      </c>
    </row>
    <row r="2396" spans="6:18" x14ac:dyDescent="0.3">
      <c r="F2396" t="str">
        <f>IF(A2396="","",4*AVERAGE($E$7:E2396))</f>
        <v/>
      </c>
      <c r="R2396" t="str">
        <f>IF(L2396="","",6*AVERAGE($Q$7:Q2396))</f>
        <v/>
      </c>
    </row>
    <row r="2397" spans="6:18" x14ac:dyDescent="0.3">
      <c r="F2397" t="str">
        <f>IF(A2397="","",4*AVERAGE($E$7:E2397))</f>
        <v/>
      </c>
      <c r="R2397" t="str">
        <f>IF(L2397="","",6*AVERAGE($Q$7:Q2397))</f>
        <v/>
      </c>
    </row>
    <row r="2398" spans="6:18" x14ac:dyDescent="0.3">
      <c r="F2398" t="str">
        <f>IF(A2398="","",4*AVERAGE($E$7:E2398))</f>
        <v/>
      </c>
      <c r="R2398" t="str">
        <f>IF(L2398="","",6*AVERAGE($Q$7:Q2398))</f>
        <v/>
      </c>
    </row>
    <row r="2399" spans="6:18" x14ac:dyDescent="0.3">
      <c r="F2399" t="str">
        <f>IF(A2399="","",4*AVERAGE($E$7:E2399))</f>
        <v/>
      </c>
      <c r="R2399" t="str">
        <f>IF(L2399="","",6*AVERAGE($Q$7:Q2399))</f>
        <v/>
      </c>
    </row>
    <row r="2400" spans="6:18" x14ac:dyDescent="0.3">
      <c r="F2400" t="str">
        <f>IF(A2400="","",4*AVERAGE($E$7:E2400))</f>
        <v/>
      </c>
      <c r="R2400" t="str">
        <f>IF(L2400="","",6*AVERAGE($Q$7:Q2400))</f>
        <v/>
      </c>
    </row>
    <row r="2401" spans="6:18" x14ac:dyDescent="0.3">
      <c r="F2401" t="str">
        <f>IF(A2401="","",4*AVERAGE($E$7:E2401))</f>
        <v/>
      </c>
      <c r="R2401" t="str">
        <f>IF(L2401="","",6*AVERAGE($Q$7:Q2401))</f>
        <v/>
      </c>
    </row>
    <row r="2402" spans="6:18" x14ac:dyDescent="0.3">
      <c r="F2402" t="str">
        <f>IF(A2402="","",4*AVERAGE($E$7:E2402))</f>
        <v/>
      </c>
      <c r="R2402" t="str">
        <f>IF(L2402="","",6*AVERAGE($Q$7:Q2402))</f>
        <v/>
      </c>
    </row>
    <row r="2403" spans="6:18" x14ac:dyDescent="0.3">
      <c r="F2403" t="str">
        <f>IF(A2403="","",4*AVERAGE($E$7:E2403))</f>
        <v/>
      </c>
      <c r="R2403" t="str">
        <f>IF(L2403="","",6*AVERAGE($Q$7:Q2403))</f>
        <v/>
      </c>
    </row>
    <row r="2404" spans="6:18" x14ac:dyDescent="0.3">
      <c r="F2404" t="str">
        <f>IF(A2404="","",4*AVERAGE($E$7:E2404))</f>
        <v/>
      </c>
      <c r="R2404" t="str">
        <f>IF(L2404="","",6*AVERAGE($Q$7:Q2404))</f>
        <v/>
      </c>
    </row>
    <row r="2405" spans="6:18" x14ac:dyDescent="0.3">
      <c r="F2405" t="str">
        <f>IF(A2405="","",4*AVERAGE($E$7:E2405))</f>
        <v/>
      </c>
      <c r="R2405" t="str">
        <f>IF(L2405="","",6*AVERAGE($Q$7:Q2405))</f>
        <v/>
      </c>
    </row>
    <row r="2406" spans="6:18" x14ac:dyDescent="0.3">
      <c r="F2406" t="str">
        <f>IF(A2406="","",4*AVERAGE($E$7:E2406))</f>
        <v/>
      </c>
      <c r="R2406" t="str">
        <f>IF(L2406="","",6*AVERAGE($Q$7:Q2406))</f>
        <v/>
      </c>
    </row>
    <row r="2407" spans="6:18" x14ac:dyDescent="0.3">
      <c r="F2407" t="str">
        <f>IF(A2407="","",4*AVERAGE($E$7:E2407))</f>
        <v/>
      </c>
      <c r="R2407" t="str">
        <f>IF(L2407="","",6*AVERAGE($Q$7:Q2407))</f>
        <v/>
      </c>
    </row>
    <row r="2408" spans="6:18" x14ac:dyDescent="0.3">
      <c r="F2408" t="str">
        <f>IF(A2408="","",4*AVERAGE($E$7:E2408))</f>
        <v/>
      </c>
      <c r="R2408" t="str">
        <f>IF(L2408="","",6*AVERAGE($Q$7:Q2408))</f>
        <v/>
      </c>
    </row>
    <row r="2409" spans="6:18" x14ac:dyDescent="0.3">
      <c r="F2409" t="str">
        <f>IF(A2409="","",4*AVERAGE($E$7:E2409))</f>
        <v/>
      </c>
      <c r="R2409" t="str">
        <f>IF(L2409="","",6*AVERAGE($Q$7:Q2409))</f>
        <v/>
      </c>
    </row>
    <row r="2410" spans="6:18" x14ac:dyDescent="0.3">
      <c r="F2410" t="str">
        <f>IF(A2410="","",4*AVERAGE($E$7:E2410))</f>
        <v/>
      </c>
      <c r="R2410" t="str">
        <f>IF(L2410="","",6*AVERAGE($Q$7:Q2410))</f>
        <v/>
      </c>
    </row>
    <row r="2411" spans="6:18" x14ac:dyDescent="0.3">
      <c r="F2411" t="str">
        <f>IF(A2411="","",4*AVERAGE($E$7:E2411))</f>
        <v/>
      </c>
      <c r="R2411" t="str">
        <f>IF(L2411="","",6*AVERAGE($Q$7:Q2411))</f>
        <v/>
      </c>
    </row>
    <row r="2412" spans="6:18" x14ac:dyDescent="0.3">
      <c r="F2412" t="str">
        <f>IF(A2412="","",4*AVERAGE($E$7:E2412))</f>
        <v/>
      </c>
      <c r="R2412" t="str">
        <f>IF(L2412="","",6*AVERAGE($Q$7:Q2412))</f>
        <v/>
      </c>
    </row>
    <row r="2413" spans="6:18" x14ac:dyDescent="0.3">
      <c r="F2413" t="str">
        <f>IF(A2413="","",4*AVERAGE($E$7:E2413))</f>
        <v/>
      </c>
      <c r="R2413" t="str">
        <f>IF(L2413="","",6*AVERAGE($Q$7:Q2413))</f>
        <v/>
      </c>
    </row>
    <row r="2414" spans="6:18" x14ac:dyDescent="0.3">
      <c r="F2414" t="str">
        <f>IF(A2414="","",4*AVERAGE($E$7:E2414))</f>
        <v/>
      </c>
      <c r="R2414" t="str">
        <f>IF(L2414="","",6*AVERAGE($Q$7:Q2414))</f>
        <v/>
      </c>
    </row>
    <row r="2415" spans="6:18" x14ac:dyDescent="0.3">
      <c r="F2415" t="str">
        <f>IF(A2415="","",4*AVERAGE($E$7:E2415))</f>
        <v/>
      </c>
      <c r="R2415" t="str">
        <f>IF(L2415="","",6*AVERAGE($Q$7:Q2415))</f>
        <v/>
      </c>
    </row>
    <row r="2416" spans="6:18" x14ac:dyDescent="0.3">
      <c r="F2416" t="str">
        <f>IF(A2416="","",4*AVERAGE($E$7:E2416))</f>
        <v/>
      </c>
      <c r="R2416" t="str">
        <f>IF(L2416="","",6*AVERAGE($Q$7:Q2416))</f>
        <v/>
      </c>
    </row>
    <row r="2417" spans="6:18" x14ac:dyDescent="0.3">
      <c r="F2417" t="str">
        <f>IF(A2417="","",4*AVERAGE($E$7:E2417))</f>
        <v/>
      </c>
      <c r="R2417" t="str">
        <f>IF(L2417="","",6*AVERAGE($Q$7:Q2417))</f>
        <v/>
      </c>
    </row>
    <row r="2418" spans="6:18" x14ac:dyDescent="0.3">
      <c r="F2418" t="str">
        <f>IF(A2418="","",4*AVERAGE($E$7:E2418))</f>
        <v/>
      </c>
      <c r="R2418" t="str">
        <f>IF(L2418="","",6*AVERAGE($Q$7:Q2418))</f>
        <v/>
      </c>
    </row>
    <row r="2419" spans="6:18" x14ac:dyDescent="0.3">
      <c r="F2419" t="str">
        <f>IF(A2419="","",4*AVERAGE($E$7:E2419))</f>
        <v/>
      </c>
      <c r="R2419" t="str">
        <f>IF(L2419="","",6*AVERAGE($Q$7:Q2419))</f>
        <v/>
      </c>
    </row>
    <row r="2420" spans="6:18" x14ac:dyDescent="0.3">
      <c r="F2420" t="str">
        <f>IF(A2420="","",4*AVERAGE($E$7:E2420))</f>
        <v/>
      </c>
      <c r="R2420" t="str">
        <f>IF(L2420="","",6*AVERAGE($Q$7:Q2420))</f>
        <v/>
      </c>
    </row>
    <row r="2421" spans="6:18" x14ac:dyDescent="0.3">
      <c r="F2421" t="str">
        <f>IF(A2421="","",4*AVERAGE($E$7:E2421))</f>
        <v/>
      </c>
      <c r="R2421" t="str">
        <f>IF(L2421="","",6*AVERAGE($Q$7:Q2421))</f>
        <v/>
      </c>
    </row>
    <row r="2422" spans="6:18" x14ac:dyDescent="0.3">
      <c r="F2422" t="str">
        <f>IF(A2422="","",4*AVERAGE($E$7:E2422))</f>
        <v/>
      </c>
      <c r="R2422" t="str">
        <f>IF(L2422="","",6*AVERAGE($Q$7:Q2422))</f>
        <v/>
      </c>
    </row>
    <row r="2423" spans="6:18" x14ac:dyDescent="0.3">
      <c r="F2423" t="str">
        <f>IF(A2423="","",4*AVERAGE($E$7:E2423))</f>
        <v/>
      </c>
      <c r="R2423" t="str">
        <f>IF(L2423="","",6*AVERAGE($Q$7:Q2423))</f>
        <v/>
      </c>
    </row>
    <row r="2424" spans="6:18" x14ac:dyDescent="0.3">
      <c r="F2424" t="str">
        <f>IF(A2424="","",4*AVERAGE($E$7:E2424))</f>
        <v/>
      </c>
      <c r="R2424" t="str">
        <f>IF(L2424="","",6*AVERAGE($Q$7:Q2424))</f>
        <v/>
      </c>
    </row>
    <row r="2425" spans="6:18" x14ac:dyDescent="0.3">
      <c r="F2425" t="str">
        <f>IF(A2425="","",4*AVERAGE($E$7:E2425))</f>
        <v/>
      </c>
      <c r="R2425" t="str">
        <f>IF(L2425="","",6*AVERAGE($Q$7:Q2425))</f>
        <v/>
      </c>
    </row>
    <row r="2426" spans="6:18" x14ac:dyDescent="0.3">
      <c r="F2426" t="str">
        <f>IF(A2426="","",4*AVERAGE($E$7:E2426))</f>
        <v/>
      </c>
      <c r="R2426" t="str">
        <f>IF(L2426="","",6*AVERAGE($Q$7:Q2426))</f>
        <v/>
      </c>
    </row>
    <row r="2427" spans="6:18" x14ac:dyDescent="0.3">
      <c r="F2427" t="str">
        <f>IF(A2427="","",4*AVERAGE($E$7:E2427))</f>
        <v/>
      </c>
      <c r="R2427" t="str">
        <f>IF(L2427="","",6*AVERAGE($Q$7:Q2427))</f>
        <v/>
      </c>
    </row>
    <row r="2428" spans="6:18" x14ac:dyDescent="0.3">
      <c r="F2428" t="str">
        <f>IF(A2428="","",4*AVERAGE($E$7:E2428))</f>
        <v/>
      </c>
      <c r="R2428" t="str">
        <f>IF(L2428="","",6*AVERAGE($Q$7:Q2428))</f>
        <v/>
      </c>
    </row>
    <row r="2429" spans="6:18" x14ac:dyDescent="0.3">
      <c r="F2429" t="str">
        <f>IF(A2429="","",4*AVERAGE($E$7:E2429))</f>
        <v/>
      </c>
      <c r="R2429" t="str">
        <f>IF(L2429="","",6*AVERAGE($Q$7:Q2429))</f>
        <v/>
      </c>
    </row>
    <row r="2430" spans="6:18" x14ac:dyDescent="0.3">
      <c r="F2430" t="str">
        <f>IF(A2430="","",4*AVERAGE($E$7:E2430))</f>
        <v/>
      </c>
      <c r="R2430" t="str">
        <f>IF(L2430="","",6*AVERAGE($Q$7:Q2430))</f>
        <v/>
      </c>
    </row>
    <row r="2431" spans="6:18" x14ac:dyDescent="0.3">
      <c r="F2431" t="str">
        <f>IF(A2431="","",4*AVERAGE($E$7:E2431))</f>
        <v/>
      </c>
      <c r="R2431" t="str">
        <f>IF(L2431="","",6*AVERAGE($Q$7:Q2431))</f>
        <v/>
      </c>
    </row>
    <row r="2432" spans="6:18" x14ac:dyDescent="0.3">
      <c r="F2432" t="str">
        <f>IF(A2432="","",4*AVERAGE($E$7:E2432))</f>
        <v/>
      </c>
      <c r="R2432" t="str">
        <f>IF(L2432="","",6*AVERAGE($Q$7:Q2432))</f>
        <v/>
      </c>
    </row>
    <row r="2433" spans="6:18" x14ac:dyDescent="0.3">
      <c r="F2433" t="str">
        <f>IF(A2433="","",4*AVERAGE($E$7:E2433))</f>
        <v/>
      </c>
      <c r="R2433" t="str">
        <f>IF(L2433="","",6*AVERAGE($Q$7:Q2433))</f>
        <v/>
      </c>
    </row>
    <row r="2434" spans="6:18" x14ac:dyDescent="0.3">
      <c r="F2434" t="str">
        <f>IF(A2434="","",4*AVERAGE($E$7:E2434))</f>
        <v/>
      </c>
      <c r="R2434" t="str">
        <f>IF(L2434="","",6*AVERAGE($Q$7:Q2434))</f>
        <v/>
      </c>
    </row>
    <row r="2435" spans="6:18" x14ac:dyDescent="0.3">
      <c r="F2435" t="str">
        <f>IF(A2435="","",4*AVERAGE($E$7:E2435))</f>
        <v/>
      </c>
      <c r="R2435" t="str">
        <f>IF(L2435="","",6*AVERAGE($Q$7:Q2435))</f>
        <v/>
      </c>
    </row>
    <row r="2436" spans="6:18" x14ac:dyDescent="0.3">
      <c r="F2436" t="str">
        <f>IF(A2436="","",4*AVERAGE($E$7:E2436))</f>
        <v/>
      </c>
      <c r="R2436" t="str">
        <f>IF(L2436="","",6*AVERAGE($Q$7:Q2436))</f>
        <v/>
      </c>
    </row>
    <row r="2437" spans="6:18" x14ac:dyDescent="0.3">
      <c r="F2437" t="str">
        <f>IF(A2437="","",4*AVERAGE($E$7:E2437))</f>
        <v/>
      </c>
      <c r="R2437" t="str">
        <f>IF(L2437="","",6*AVERAGE($Q$7:Q2437))</f>
        <v/>
      </c>
    </row>
    <row r="2438" spans="6:18" x14ac:dyDescent="0.3">
      <c r="F2438" t="str">
        <f>IF(A2438="","",4*AVERAGE($E$7:E2438))</f>
        <v/>
      </c>
      <c r="R2438" t="str">
        <f>IF(L2438="","",6*AVERAGE($Q$7:Q2438))</f>
        <v/>
      </c>
    </row>
    <row r="2439" spans="6:18" x14ac:dyDescent="0.3">
      <c r="F2439" t="str">
        <f>IF(A2439="","",4*AVERAGE($E$7:E2439))</f>
        <v/>
      </c>
      <c r="R2439" t="str">
        <f>IF(L2439="","",6*AVERAGE($Q$7:Q2439))</f>
        <v/>
      </c>
    </row>
    <row r="2440" spans="6:18" x14ac:dyDescent="0.3">
      <c r="F2440" t="str">
        <f>IF(A2440="","",4*AVERAGE($E$7:E2440))</f>
        <v/>
      </c>
      <c r="R2440" t="str">
        <f>IF(L2440="","",6*AVERAGE($Q$7:Q2440))</f>
        <v/>
      </c>
    </row>
    <row r="2441" spans="6:18" x14ac:dyDescent="0.3">
      <c r="F2441" t="str">
        <f>IF(A2441="","",4*AVERAGE($E$7:E2441))</f>
        <v/>
      </c>
      <c r="R2441" t="str">
        <f>IF(L2441="","",6*AVERAGE($Q$7:Q2441))</f>
        <v/>
      </c>
    </row>
    <row r="2442" spans="6:18" x14ac:dyDescent="0.3">
      <c r="F2442" t="str">
        <f>IF(A2442="","",4*AVERAGE($E$7:E2442))</f>
        <v/>
      </c>
      <c r="R2442" t="str">
        <f>IF(L2442="","",6*AVERAGE($Q$7:Q2442))</f>
        <v/>
      </c>
    </row>
    <row r="2443" spans="6:18" x14ac:dyDescent="0.3">
      <c r="F2443" t="str">
        <f>IF(A2443="","",4*AVERAGE($E$7:E2443))</f>
        <v/>
      </c>
      <c r="R2443" t="str">
        <f>IF(L2443="","",6*AVERAGE($Q$7:Q2443))</f>
        <v/>
      </c>
    </row>
    <row r="2444" spans="6:18" x14ac:dyDescent="0.3">
      <c r="F2444" t="str">
        <f>IF(A2444="","",4*AVERAGE($E$7:E2444))</f>
        <v/>
      </c>
      <c r="R2444" t="str">
        <f>IF(L2444="","",6*AVERAGE($Q$7:Q2444))</f>
        <v/>
      </c>
    </row>
    <row r="2445" spans="6:18" x14ac:dyDescent="0.3">
      <c r="F2445" t="str">
        <f>IF(A2445="","",4*AVERAGE($E$7:E2445))</f>
        <v/>
      </c>
      <c r="R2445" t="str">
        <f>IF(L2445="","",6*AVERAGE($Q$7:Q2445))</f>
        <v/>
      </c>
    </row>
    <row r="2446" spans="6:18" x14ac:dyDescent="0.3">
      <c r="F2446" t="str">
        <f>IF(A2446="","",4*AVERAGE($E$7:E2446))</f>
        <v/>
      </c>
      <c r="R2446" t="str">
        <f>IF(L2446="","",6*AVERAGE($Q$7:Q2446))</f>
        <v/>
      </c>
    </row>
    <row r="2447" spans="6:18" x14ac:dyDescent="0.3">
      <c r="F2447" t="str">
        <f>IF(A2447="","",4*AVERAGE($E$7:E2447))</f>
        <v/>
      </c>
      <c r="R2447" t="str">
        <f>IF(L2447="","",6*AVERAGE($Q$7:Q2447))</f>
        <v/>
      </c>
    </row>
    <row r="2448" spans="6:18" x14ac:dyDescent="0.3">
      <c r="F2448" t="str">
        <f>IF(A2448="","",4*AVERAGE($E$7:E2448))</f>
        <v/>
      </c>
      <c r="R2448" t="str">
        <f>IF(L2448="","",6*AVERAGE($Q$7:Q2448))</f>
        <v/>
      </c>
    </row>
    <row r="2449" spans="6:18" x14ac:dyDescent="0.3">
      <c r="F2449" t="str">
        <f>IF(A2449="","",4*AVERAGE($E$7:E2449))</f>
        <v/>
      </c>
      <c r="R2449" t="str">
        <f>IF(L2449="","",6*AVERAGE($Q$7:Q2449))</f>
        <v/>
      </c>
    </row>
    <row r="2450" spans="6:18" x14ac:dyDescent="0.3">
      <c r="F2450" t="str">
        <f>IF(A2450="","",4*AVERAGE($E$7:E2450))</f>
        <v/>
      </c>
      <c r="R2450" t="str">
        <f>IF(L2450="","",6*AVERAGE($Q$7:Q2450))</f>
        <v/>
      </c>
    </row>
    <row r="2451" spans="6:18" x14ac:dyDescent="0.3">
      <c r="F2451" t="str">
        <f>IF(A2451="","",4*AVERAGE($E$7:E2451))</f>
        <v/>
      </c>
      <c r="R2451" t="str">
        <f>IF(L2451="","",6*AVERAGE($Q$7:Q2451))</f>
        <v/>
      </c>
    </row>
    <row r="2452" spans="6:18" x14ac:dyDescent="0.3">
      <c r="F2452" t="str">
        <f>IF(A2452="","",4*AVERAGE($E$7:E2452))</f>
        <v/>
      </c>
      <c r="R2452" t="str">
        <f>IF(L2452="","",6*AVERAGE($Q$7:Q2452))</f>
        <v/>
      </c>
    </row>
    <row r="2453" spans="6:18" x14ac:dyDescent="0.3">
      <c r="F2453" t="str">
        <f>IF(A2453="","",4*AVERAGE($E$7:E2453))</f>
        <v/>
      </c>
      <c r="R2453" t="str">
        <f>IF(L2453="","",6*AVERAGE($Q$7:Q2453))</f>
        <v/>
      </c>
    </row>
    <row r="2454" spans="6:18" x14ac:dyDescent="0.3">
      <c r="F2454" t="str">
        <f>IF(A2454="","",4*AVERAGE($E$7:E2454))</f>
        <v/>
      </c>
      <c r="R2454" t="str">
        <f>IF(L2454="","",6*AVERAGE($Q$7:Q2454))</f>
        <v/>
      </c>
    </row>
    <row r="2455" spans="6:18" x14ac:dyDescent="0.3">
      <c r="F2455" t="str">
        <f>IF(A2455="","",4*AVERAGE($E$7:E2455))</f>
        <v/>
      </c>
      <c r="R2455" t="str">
        <f>IF(L2455="","",6*AVERAGE($Q$7:Q2455))</f>
        <v/>
      </c>
    </row>
    <row r="2456" spans="6:18" x14ac:dyDescent="0.3">
      <c r="F2456" t="str">
        <f>IF(A2456="","",4*AVERAGE($E$7:E2456))</f>
        <v/>
      </c>
      <c r="R2456" t="str">
        <f>IF(L2456="","",6*AVERAGE($Q$7:Q2456))</f>
        <v/>
      </c>
    </row>
    <row r="2457" spans="6:18" x14ac:dyDescent="0.3">
      <c r="F2457" t="str">
        <f>IF(A2457="","",4*AVERAGE($E$7:E2457))</f>
        <v/>
      </c>
      <c r="R2457" t="str">
        <f>IF(L2457="","",6*AVERAGE($Q$7:Q2457))</f>
        <v/>
      </c>
    </row>
    <row r="2458" spans="6:18" x14ac:dyDescent="0.3">
      <c r="F2458" t="str">
        <f>IF(A2458="","",4*AVERAGE($E$7:E2458))</f>
        <v/>
      </c>
      <c r="R2458" t="str">
        <f>IF(L2458="","",6*AVERAGE($Q$7:Q2458))</f>
        <v/>
      </c>
    </row>
    <row r="2459" spans="6:18" x14ac:dyDescent="0.3">
      <c r="F2459" t="str">
        <f>IF(A2459="","",4*AVERAGE($E$7:E2459))</f>
        <v/>
      </c>
      <c r="R2459" t="str">
        <f>IF(L2459="","",6*AVERAGE($Q$7:Q2459))</f>
        <v/>
      </c>
    </row>
    <row r="2460" spans="6:18" x14ac:dyDescent="0.3">
      <c r="F2460" t="str">
        <f>IF(A2460="","",4*AVERAGE($E$7:E2460))</f>
        <v/>
      </c>
      <c r="R2460" t="str">
        <f>IF(L2460="","",6*AVERAGE($Q$7:Q2460))</f>
        <v/>
      </c>
    </row>
    <row r="2461" spans="6:18" x14ac:dyDescent="0.3">
      <c r="F2461" t="str">
        <f>IF(A2461="","",4*AVERAGE($E$7:E2461))</f>
        <v/>
      </c>
      <c r="R2461" t="str">
        <f>IF(L2461="","",6*AVERAGE($Q$7:Q2461))</f>
        <v/>
      </c>
    </row>
    <row r="2462" spans="6:18" x14ac:dyDescent="0.3">
      <c r="F2462" t="str">
        <f>IF(A2462="","",4*AVERAGE($E$7:E2462))</f>
        <v/>
      </c>
      <c r="R2462" t="str">
        <f>IF(L2462="","",6*AVERAGE($Q$7:Q2462))</f>
        <v/>
      </c>
    </row>
    <row r="2463" spans="6:18" x14ac:dyDescent="0.3">
      <c r="F2463" t="str">
        <f>IF(A2463="","",4*AVERAGE($E$7:E2463))</f>
        <v/>
      </c>
      <c r="R2463" t="str">
        <f>IF(L2463="","",6*AVERAGE($Q$7:Q2463))</f>
        <v/>
      </c>
    </row>
    <row r="2464" spans="6:18" x14ac:dyDescent="0.3">
      <c r="F2464" t="str">
        <f>IF(A2464="","",4*AVERAGE($E$7:E2464))</f>
        <v/>
      </c>
      <c r="R2464" t="str">
        <f>IF(L2464="","",6*AVERAGE($Q$7:Q2464))</f>
        <v/>
      </c>
    </row>
    <row r="2465" spans="6:18" x14ac:dyDescent="0.3">
      <c r="F2465" t="str">
        <f>IF(A2465="","",4*AVERAGE($E$7:E2465))</f>
        <v/>
      </c>
      <c r="R2465" t="str">
        <f>IF(L2465="","",6*AVERAGE($Q$7:Q2465))</f>
        <v/>
      </c>
    </row>
    <row r="2466" spans="6:18" x14ac:dyDescent="0.3">
      <c r="F2466" t="str">
        <f>IF(A2466="","",4*AVERAGE($E$7:E2466))</f>
        <v/>
      </c>
      <c r="R2466" t="str">
        <f>IF(L2466="","",6*AVERAGE($Q$7:Q2466))</f>
        <v/>
      </c>
    </row>
    <row r="2467" spans="6:18" x14ac:dyDescent="0.3">
      <c r="F2467" t="str">
        <f>IF(A2467="","",4*AVERAGE($E$7:E2467))</f>
        <v/>
      </c>
      <c r="R2467" t="str">
        <f>IF(L2467="","",6*AVERAGE($Q$7:Q2467))</f>
        <v/>
      </c>
    </row>
    <row r="2468" spans="6:18" x14ac:dyDescent="0.3">
      <c r="F2468" t="str">
        <f>IF(A2468="","",4*AVERAGE($E$7:E2468))</f>
        <v/>
      </c>
      <c r="R2468" t="str">
        <f>IF(L2468="","",6*AVERAGE($Q$7:Q2468))</f>
        <v/>
      </c>
    </row>
    <row r="2469" spans="6:18" x14ac:dyDescent="0.3">
      <c r="F2469" t="str">
        <f>IF(A2469="","",4*AVERAGE($E$7:E2469))</f>
        <v/>
      </c>
      <c r="R2469" t="str">
        <f>IF(L2469="","",6*AVERAGE($Q$7:Q2469))</f>
        <v/>
      </c>
    </row>
    <row r="2470" spans="6:18" x14ac:dyDescent="0.3">
      <c r="F2470" t="str">
        <f>IF(A2470="","",4*AVERAGE($E$7:E2470))</f>
        <v/>
      </c>
      <c r="R2470" t="str">
        <f>IF(L2470="","",6*AVERAGE($Q$7:Q2470))</f>
        <v/>
      </c>
    </row>
    <row r="2471" spans="6:18" x14ac:dyDescent="0.3">
      <c r="F2471" t="str">
        <f>IF(A2471="","",4*AVERAGE($E$7:E2471))</f>
        <v/>
      </c>
      <c r="R2471" t="str">
        <f>IF(L2471="","",6*AVERAGE($Q$7:Q2471))</f>
        <v/>
      </c>
    </row>
    <row r="2472" spans="6:18" x14ac:dyDescent="0.3">
      <c r="F2472" t="str">
        <f>IF(A2472="","",4*AVERAGE($E$7:E2472))</f>
        <v/>
      </c>
      <c r="R2472" t="str">
        <f>IF(L2472="","",6*AVERAGE($Q$7:Q2472))</f>
        <v/>
      </c>
    </row>
    <row r="2473" spans="6:18" x14ac:dyDescent="0.3">
      <c r="F2473" t="str">
        <f>IF(A2473="","",4*AVERAGE($E$7:E2473))</f>
        <v/>
      </c>
      <c r="R2473" t="str">
        <f>IF(L2473="","",6*AVERAGE($Q$7:Q2473))</f>
        <v/>
      </c>
    </row>
    <row r="2474" spans="6:18" x14ac:dyDescent="0.3">
      <c r="F2474" t="str">
        <f>IF(A2474="","",4*AVERAGE($E$7:E2474))</f>
        <v/>
      </c>
      <c r="R2474" t="str">
        <f>IF(L2474="","",6*AVERAGE($Q$7:Q2474))</f>
        <v/>
      </c>
    </row>
    <row r="2475" spans="6:18" x14ac:dyDescent="0.3">
      <c r="F2475" t="str">
        <f>IF(A2475="","",4*AVERAGE($E$7:E2475))</f>
        <v/>
      </c>
      <c r="R2475" t="str">
        <f>IF(L2475="","",6*AVERAGE($Q$7:Q2475))</f>
        <v/>
      </c>
    </row>
    <row r="2476" spans="6:18" x14ac:dyDescent="0.3">
      <c r="F2476" t="str">
        <f>IF(A2476="","",4*AVERAGE($E$7:E2476))</f>
        <v/>
      </c>
      <c r="R2476" t="str">
        <f>IF(L2476="","",6*AVERAGE($Q$7:Q2476))</f>
        <v/>
      </c>
    </row>
    <row r="2477" spans="6:18" x14ac:dyDescent="0.3">
      <c r="F2477" t="str">
        <f>IF(A2477="","",4*AVERAGE($E$7:E2477))</f>
        <v/>
      </c>
      <c r="R2477" t="str">
        <f>IF(L2477="","",6*AVERAGE($Q$7:Q2477))</f>
        <v/>
      </c>
    </row>
    <row r="2478" spans="6:18" x14ac:dyDescent="0.3">
      <c r="F2478" t="str">
        <f>IF(A2478="","",4*AVERAGE($E$7:E2478))</f>
        <v/>
      </c>
      <c r="R2478" t="str">
        <f>IF(L2478="","",6*AVERAGE($Q$7:Q2478))</f>
        <v/>
      </c>
    </row>
    <row r="2479" spans="6:18" x14ac:dyDescent="0.3">
      <c r="F2479" t="str">
        <f>IF(A2479="","",4*AVERAGE($E$7:E2479))</f>
        <v/>
      </c>
      <c r="R2479" t="str">
        <f>IF(L2479="","",6*AVERAGE($Q$7:Q2479))</f>
        <v/>
      </c>
    </row>
    <row r="2480" spans="6:18" x14ac:dyDescent="0.3">
      <c r="F2480" t="str">
        <f>IF(A2480="","",4*AVERAGE($E$7:E2480))</f>
        <v/>
      </c>
      <c r="R2480" t="str">
        <f>IF(L2480="","",6*AVERAGE($Q$7:Q2480))</f>
        <v/>
      </c>
    </row>
    <row r="2481" spans="6:18" x14ac:dyDescent="0.3">
      <c r="F2481" t="str">
        <f>IF(A2481="","",4*AVERAGE($E$7:E2481))</f>
        <v/>
      </c>
      <c r="R2481" t="str">
        <f>IF(L2481="","",6*AVERAGE($Q$7:Q2481))</f>
        <v/>
      </c>
    </row>
    <row r="2482" spans="6:18" x14ac:dyDescent="0.3">
      <c r="F2482" t="str">
        <f>IF(A2482="","",4*AVERAGE($E$7:E2482))</f>
        <v/>
      </c>
      <c r="R2482" t="str">
        <f>IF(L2482="","",6*AVERAGE($Q$7:Q2482))</f>
        <v/>
      </c>
    </row>
    <row r="2483" spans="6:18" x14ac:dyDescent="0.3">
      <c r="F2483" t="str">
        <f>IF(A2483="","",4*AVERAGE($E$7:E2483))</f>
        <v/>
      </c>
      <c r="R2483" t="str">
        <f>IF(L2483="","",6*AVERAGE($Q$7:Q2483))</f>
        <v/>
      </c>
    </row>
    <row r="2484" spans="6:18" x14ac:dyDescent="0.3">
      <c r="F2484" t="str">
        <f>IF(A2484="","",4*AVERAGE($E$7:E2484))</f>
        <v/>
      </c>
      <c r="R2484" t="str">
        <f>IF(L2484="","",6*AVERAGE($Q$7:Q2484))</f>
        <v/>
      </c>
    </row>
    <row r="2485" spans="6:18" x14ac:dyDescent="0.3">
      <c r="F2485" t="str">
        <f>IF(A2485="","",4*AVERAGE($E$7:E2485))</f>
        <v/>
      </c>
      <c r="R2485" t="str">
        <f>IF(L2485="","",6*AVERAGE($Q$7:Q2485))</f>
        <v/>
      </c>
    </row>
    <row r="2486" spans="6:18" x14ac:dyDescent="0.3">
      <c r="F2486" t="str">
        <f>IF(A2486="","",4*AVERAGE($E$7:E2486))</f>
        <v/>
      </c>
      <c r="R2486" t="str">
        <f>IF(L2486="","",6*AVERAGE($Q$7:Q2486))</f>
        <v/>
      </c>
    </row>
    <row r="2487" spans="6:18" x14ac:dyDescent="0.3">
      <c r="F2487" t="str">
        <f>IF(A2487="","",4*AVERAGE($E$7:E2487))</f>
        <v/>
      </c>
      <c r="R2487" t="str">
        <f>IF(L2487="","",6*AVERAGE($Q$7:Q2487))</f>
        <v/>
      </c>
    </row>
    <row r="2488" spans="6:18" x14ac:dyDescent="0.3">
      <c r="F2488" t="str">
        <f>IF(A2488="","",4*AVERAGE($E$7:E2488))</f>
        <v/>
      </c>
      <c r="R2488" t="str">
        <f>IF(L2488="","",6*AVERAGE($Q$7:Q2488))</f>
        <v/>
      </c>
    </row>
    <row r="2489" spans="6:18" x14ac:dyDescent="0.3">
      <c r="F2489" t="str">
        <f>IF(A2489="","",4*AVERAGE($E$7:E2489))</f>
        <v/>
      </c>
      <c r="R2489" t="str">
        <f>IF(L2489="","",6*AVERAGE($Q$7:Q2489))</f>
        <v/>
      </c>
    </row>
    <row r="2490" spans="6:18" x14ac:dyDescent="0.3">
      <c r="F2490" t="str">
        <f>IF(A2490="","",4*AVERAGE($E$7:E2490))</f>
        <v/>
      </c>
      <c r="R2490" t="str">
        <f>IF(L2490="","",6*AVERAGE($Q$7:Q2490))</f>
        <v/>
      </c>
    </row>
    <row r="2491" spans="6:18" x14ac:dyDescent="0.3">
      <c r="F2491" t="str">
        <f>IF(A2491="","",4*AVERAGE($E$7:E2491))</f>
        <v/>
      </c>
      <c r="R2491" t="str">
        <f>IF(L2491="","",6*AVERAGE($Q$7:Q2491))</f>
        <v/>
      </c>
    </row>
    <row r="2492" spans="6:18" x14ac:dyDescent="0.3">
      <c r="F2492" t="str">
        <f>IF(A2492="","",4*AVERAGE($E$7:E2492))</f>
        <v/>
      </c>
      <c r="R2492" t="str">
        <f>IF(L2492="","",6*AVERAGE($Q$7:Q2492))</f>
        <v/>
      </c>
    </row>
    <row r="2493" spans="6:18" x14ac:dyDescent="0.3">
      <c r="F2493" t="str">
        <f>IF(A2493="","",4*AVERAGE($E$7:E2493))</f>
        <v/>
      </c>
      <c r="R2493" t="str">
        <f>IF(L2493="","",6*AVERAGE($Q$7:Q2493))</f>
        <v/>
      </c>
    </row>
    <row r="2494" spans="6:18" x14ac:dyDescent="0.3">
      <c r="F2494" t="str">
        <f>IF(A2494="","",4*AVERAGE($E$7:E2494))</f>
        <v/>
      </c>
      <c r="R2494" t="str">
        <f>IF(L2494="","",6*AVERAGE($Q$7:Q2494))</f>
        <v/>
      </c>
    </row>
    <row r="2495" spans="6:18" x14ac:dyDescent="0.3">
      <c r="F2495" t="str">
        <f>IF(A2495="","",4*AVERAGE($E$7:E2495))</f>
        <v/>
      </c>
      <c r="R2495" t="str">
        <f>IF(L2495="","",6*AVERAGE($Q$7:Q2495))</f>
        <v/>
      </c>
    </row>
    <row r="2496" spans="6:18" x14ac:dyDescent="0.3">
      <c r="F2496" t="str">
        <f>IF(A2496="","",4*AVERAGE($E$7:E2496))</f>
        <v/>
      </c>
      <c r="R2496" t="str">
        <f>IF(L2496="","",6*AVERAGE($Q$7:Q2496))</f>
        <v/>
      </c>
    </row>
    <row r="2497" spans="6:18" x14ac:dyDescent="0.3">
      <c r="F2497" t="str">
        <f>IF(A2497="","",4*AVERAGE($E$7:E2497))</f>
        <v/>
      </c>
      <c r="R2497" t="str">
        <f>IF(L2497="","",6*AVERAGE($Q$7:Q2497))</f>
        <v/>
      </c>
    </row>
    <row r="2498" spans="6:18" x14ac:dyDescent="0.3">
      <c r="F2498" t="str">
        <f>IF(A2498="","",4*AVERAGE($E$7:E2498))</f>
        <v/>
      </c>
      <c r="R2498" t="str">
        <f>IF(L2498="","",6*AVERAGE($Q$7:Q2498))</f>
        <v/>
      </c>
    </row>
    <row r="2499" spans="6:18" x14ac:dyDescent="0.3">
      <c r="F2499" t="str">
        <f>IF(A2499="","",4*AVERAGE($E$7:E2499))</f>
        <v/>
      </c>
      <c r="R2499" t="str">
        <f>IF(L2499="","",6*AVERAGE($Q$7:Q2499))</f>
        <v/>
      </c>
    </row>
    <row r="2500" spans="6:18" x14ac:dyDescent="0.3">
      <c r="F2500" t="str">
        <f>IF(A2500="","",4*AVERAGE($E$7:E2500))</f>
        <v/>
      </c>
      <c r="R2500" t="str">
        <f>IF(L2500="","",6*AVERAGE($Q$7:Q2500))</f>
        <v/>
      </c>
    </row>
    <row r="2501" spans="6:18" x14ac:dyDescent="0.3">
      <c r="F2501" t="str">
        <f>IF(A2501="","",4*AVERAGE($E$7:E2501))</f>
        <v/>
      </c>
      <c r="R2501" t="str">
        <f>IF(L2501="","",6*AVERAGE($Q$7:Q2501))</f>
        <v/>
      </c>
    </row>
    <row r="2502" spans="6:18" x14ac:dyDescent="0.3">
      <c r="F2502" t="str">
        <f>IF(A2502="","",4*AVERAGE($E$7:E2502))</f>
        <v/>
      </c>
      <c r="R2502" t="str">
        <f>IF(L2502="","",6*AVERAGE($Q$7:Q2502))</f>
        <v/>
      </c>
    </row>
    <row r="2503" spans="6:18" x14ac:dyDescent="0.3">
      <c r="F2503" t="str">
        <f>IF(A2503="","",4*AVERAGE($E$7:E2503))</f>
        <v/>
      </c>
      <c r="R2503" t="str">
        <f>IF(L2503="","",6*AVERAGE($Q$7:Q2503))</f>
        <v/>
      </c>
    </row>
    <row r="2504" spans="6:18" x14ac:dyDescent="0.3">
      <c r="F2504" t="str">
        <f>IF(A2504="","",4*AVERAGE($E$7:E2504))</f>
        <v/>
      </c>
      <c r="R2504" t="str">
        <f>IF(L2504="","",6*AVERAGE($Q$7:Q2504))</f>
        <v/>
      </c>
    </row>
    <row r="2505" spans="6:18" x14ac:dyDescent="0.3">
      <c r="F2505" t="str">
        <f>IF(A2505="","",4*AVERAGE($E$7:E2505))</f>
        <v/>
      </c>
      <c r="R2505" t="str">
        <f>IF(L2505="","",6*AVERAGE($Q$7:Q2505))</f>
        <v/>
      </c>
    </row>
    <row r="2506" spans="6:18" x14ac:dyDescent="0.3">
      <c r="F2506" t="str">
        <f>IF(A2506="","",4*AVERAGE($E$7:E2506))</f>
        <v/>
      </c>
      <c r="R2506" t="str">
        <f>IF(L2506="","",6*AVERAGE($Q$7:Q2506))</f>
        <v/>
      </c>
    </row>
    <row r="2507" spans="6:18" x14ac:dyDescent="0.3">
      <c r="F2507" t="str">
        <f>IF(A2507="","",4*AVERAGE($E$7:E2507))</f>
        <v/>
      </c>
      <c r="R2507" t="str">
        <f>IF(L2507="","",6*AVERAGE($Q$7:Q2507))</f>
        <v/>
      </c>
    </row>
    <row r="2508" spans="6:18" x14ac:dyDescent="0.3">
      <c r="F2508" t="str">
        <f>IF(A2508="","",4*AVERAGE($E$7:E2508))</f>
        <v/>
      </c>
      <c r="R2508" t="str">
        <f>IF(L2508="","",6*AVERAGE($Q$7:Q2508))</f>
        <v/>
      </c>
    </row>
    <row r="2509" spans="6:18" x14ac:dyDescent="0.3">
      <c r="F2509" t="str">
        <f>IF(A2509="","",4*AVERAGE($E$7:E2509))</f>
        <v/>
      </c>
      <c r="R2509" t="str">
        <f>IF(L2509="","",6*AVERAGE($Q$7:Q2509))</f>
        <v/>
      </c>
    </row>
    <row r="2510" spans="6:18" x14ac:dyDescent="0.3">
      <c r="F2510" t="str">
        <f>IF(A2510="","",4*AVERAGE($E$7:E2510))</f>
        <v/>
      </c>
      <c r="R2510" t="str">
        <f>IF(L2510="","",6*AVERAGE($Q$7:Q2510))</f>
        <v/>
      </c>
    </row>
    <row r="2511" spans="6:18" x14ac:dyDescent="0.3">
      <c r="F2511" t="str">
        <f>IF(A2511="","",4*AVERAGE($E$7:E2511))</f>
        <v/>
      </c>
      <c r="R2511" t="str">
        <f>IF(L2511="","",6*AVERAGE($Q$7:Q2511))</f>
        <v/>
      </c>
    </row>
    <row r="2512" spans="6:18" x14ac:dyDescent="0.3">
      <c r="F2512" t="str">
        <f>IF(A2512="","",4*AVERAGE($E$7:E2512))</f>
        <v/>
      </c>
      <c r="R2512" t="str">
        <f>IF(L2512="","",6*AVERAGE($Q$7:Q2512))</f>
        <v/>
      </c>
    </row>
    <row r="2513" spans="6:18" x14ac:dyDescent="0.3">
      <c r="F2513" t="str">
        <f>IF(A2513="","",4*AVERAGE($E$7:E2513))</f>
        <v/>
      </c>
      <c r="R2513" t="str">
        <f>IF(L2513="","",6*AVERAGE($Q$7:Q2513))</f>
        <v/>
      </c>
    </row>
    <row r="2514" spans="6:18" x14ac:dyDescent="0.3">
      <c r="F2514" t="str">
        <f>IF(A2514="","",4*AVERAGE($E$7:E2514))</f>
        <v/>
      </c>
      <c r="R2514" t="str">
        <f>IF(L2514="","",6*AVERAGE($Q$7:Q2514))</f>
        <v/>
      </c>
    </row>
    <row r="2515" spans="6:18" x14ac:dyDescent="0.3">
      <c r="F2515" t="str">
        <f>IF(A2515="","",4*AVERAGE($E$7:E2515))</f>
        <v/>
      </c>
      <c r="R2515" t="str">
        <f>IF(L2515="","",6*AVERAGE($Q$7:Q2515))</f>
        <v/>
      </c>
    </row>
    <row r="2516" spans="6:18" x14ac:dyDescent="0.3">
      <c r="F2516" t="str">
        <f>IF(A2516="","",4*AVERAGE($E$7:E2516))</f>
        <v/>
      </c>
      <c r="R2516" t="str">
        <f>IF(L2516="","",6*AVERAGE($Q$7:Q2516))</f>
        <v/>
      </c>
    </row>
    <row r="2517" spans="6:18" x14ac:dyDescent="0.3">
      <c r="F2517" t="str">
        <f>IF(A2517="","",4*AVERAGE($E$7:E2517))</f>
        <v/>
      </c>
      <c r="R2517" t="str">
        <f>IF(L2517="","",6*AVERAGE($Q$7:Q2517))</f>
        <v/>
      </c>
    </row>
    <row r="2518" spans="6:18" x14ac:dyDescent="0.3">
      <c r="F2518" t="str">
        <f>IF(A2518="","",4*AVERAGE($E$7:E2518))</f>
        <v/>
      </c>
      <c r="R2518" t="str">
        <f>IF(L2518="","",6*AVERAGE($Q$7:Q2518))</f>
        <v/>
      </c>
    </row>
    <row r="2519" spans="6:18" x14ac:dyDescent="0.3">
      <c r="F2519" t="str">
        <f>IF(A2519="","",4*AVERAGE($E$7:E2519))</f>
        <v/>
      </c>
      <c r="R2519" t="str">
        <f>IF(L2519="","",6*AVERAGE($Q$7:Q2519))</f>
        <v/>
      </c>
    </row>
    <row r="2520" spans="6:18" x14ac:dyDescent="0.3">
      <c r="F2520" t="str">
        <f>IF(A2520="","",4*AVERAGE($E$7:E2520))</f>
        <v/>
      </c>
      <c r="R2520" t="str">
        <f>IF(L2520="","",6*AVERAGE($Q$7:Q2520))</f>
        <v/>
      </c>
    </row>
    <row r="2521" spans="6:18" x14ac:dyDescent="0.3">
      <c r="F2521" t="str">
        <f>IF(A2521="","",4*AVERAGE($E$7:E2521))</f>
        <v/>
      </c>
      <c r="R2521" t="str">
        <f>IF(L2521="","",6*AVERAGE($Q$7:Q2521))</f>
        <v/>
      </c>
    </row>
    <row r="2522" spans="6:18" x14ac:dyDescent="0.3">
      <c r="F2522" t="str">
        <f>IF(A2522="","",4*AVERAGE($E$7:E2522))</f>
        <v/>
      </c>
      <c r="R2522" t="str">
        <f>IF(L2522="","",6*AVERAGE($Q$7:Q2522))</f>
        <v/>
      </c>
    </row>
    <row r="2523" spans="6:18" x14ac:dyDescent="0.3">
      <c r="F2523" t="str">
        <f>IF(A2523="","",4*AVERAGE($E$7:E2523))</f>
        <v/>
      </c>
      <c r="R2523" t="str">
        <f>IF(L2523="","",6*AVERAGE($Q$7:Q2523))</f>
        <v/>
      </c>
    </row>
    <row r="2524" spans="6:18" x14ac:dyDescent="0.3">
      <c r="F2524" t="str">
        <f>IF(A2524="","",4*AVERAGE($E$7:E2524))</f>
        <v/>
      </c>
      <c r="R2524" t="str">
        <f>IF(L2524="","",6*AVERAGE($Q$7:Q2524))</f>
        <v/>
      </c>
    </row>
    <row r="2525" spans="6:18" x14ac:dyDescent="0.3">
      <c r="F2525" t="str">
        <f>IF(A2525="","",4*AVERAGE($E$7:E2525))</f>
        <v/>
      </c>
      <c r="R2525" t="str">
        <f>IF(L2525="","",6*AVERAGE($Q$7:Q2525))</f>
        <v/>
      </c>
    </row>
    <row r="2526" spans="6:18" x14ac:dyDescent="0.3">
      <c r="F2526" t="str">
        <f>IF(A2526="","",4*AVERAGE($E$7:E2526))</f>
        <v/>
      </c>
      <c r="R2526" t="str">
        <f>IF(L2526="","",6*AVERAGE($Q$7:Q2526))</f>
        <v/>
      </c>
    </row>
    <row r="2527" spans="6:18" x14ac:dyDescent="0.3">
      <c r="F2527" t="str">
        <f>IF(A2527="","",4*AVERAGE($E$7:E2527))</f>
        <v/>
      </c>
      <c r="R2527" t="str">
        <f>IF(L2527="","",6*AVERAGE($Q$7:Q2527))</f>
        <v/>
      </c>
    </row>
    <row r="2528" spans="6:18" x14ac:dyDescent="0.3">
      <c r="F2528" t="str">
        <f>IF(A2528="","",4*AVERAGE($E$7:E2528))</f>
        <v/>
      </c>
      <c r="R2528" t="str">
        <f>IF(L2528="","",6*AVERAGE($Q$7:Q2528))</f>
        <v/>
      </c>
    </row>
    <row r="2529" spans="6:18" x14ac:dyDescent="0.3">
      <c r="F2529" t="str">
        <f>IF(A2529="","",4*AVERAGE($E$7:E2529))</f>
        <v/>
      </c>
      <c r="R2529" t="str">
        <f>IF(L2529="","",6*AVERAGE($Q$7:Q2529))</f>
        <v/>
      </c>
    </row>
    <row r="2530" spans="6:18" x14ac:dyDescent="0.3">
      <c r="F2530" t="str">
        <f>IF(A2530="","",4*AVERAGE($E$7:E2530))</f>
        <v/>
      </c>
      <c r="R2530" t="str">
        <f>IF(L2530="","",6*AVERAGE($Q$7:Q2530))</f>
        <v/>
      </c>
    </row>
    <row r="2531" spans="6:18" x14ac:dyDescent="0.3">
      <c r="F2531" t="str">
        <f>IF(A2531="","",4*AVERAGE($E$7:E2531))</f>
        <v/>
      </c>
      <c r="R2531" t="str">
        <f>IF(L2531="","",6*AVERAGE($Q$7:Q2531))</f>
        <v/>
      </c>
    </row>
    <row r="2532" spans="6:18" x14ac:dyDescent="0.3">
      <c r="F2532" t="str">
        <f>IF(A2532="","",4*AVERAGE($E$7:E2532))</f>
        <v/>
      </c>
      <c r="R2532" t="str">
        <f>IF(L2532="","",6*AVERAGE($Q$7:Q2532))</f>
        <v/>
      </c>
    </row>
    <row r="2533" spans="6:18" x14ac:dyDescent="0.3">
      <c r="F2533" t="str">
        <f>IF(A2533="","",4*AVERAGE($E$7:E2533))</f>
        <v/>
      </c>
      <c r="R2533" t="str">
        <f>IF(L2533="","",6*AVERAGE($Q$7:Q2533))</f>
        <v/>
      </c>
    </row>
    <row r="2534" spans="6:18" x14ac:dyDescent="0.3">
      <c r="F2534" t="str">
        <f>IF(A2534="","",4*AVERAGE($E$7:E2534))</f>
        <v/>
      </c>
      <c r="R2534" t="str">
        <f>IF(L2534="","",6*AVERAGE($Q$7:Q2534))</f>
        <v/>
      </c>
    </row>
    <row r="2535" spans="6:18" x14ac:dyDescent="0.3">
      <c r="F2535" t="str">
        <f>IF(A2535="","",4*AVERAGE($E$7:E2535))</f>
        <v/>
      </c>
      <c r="R2535" t="str">
        <f>IF(L2535="","",6*AVERAGE($Q$7:Q2535))</f>
        <v/>
      </c>
    </row>
    <row r="2536" spans="6:18" x14ac:dyDescent="0.3">
      <c r="F2536" t="str">
        <f>IF(A2536="","",4*AVERAGE($E$7:E2536))</f>
        <v/>
      </c>
      <c r="R2536" t="str">
        <f>IF(L2536="","",6*AVERAGE($Q$7:Q2536))</f>
        <v/>
      </c>
    </row>
    <row r="2537" spans="6:18" x14ac:dyDescent="0.3">
      <c r="F2537" t="str">
        <f>IF(A2537="","",4*AVERAGE($E$7:E2537))</f>
        <v/>
      </c>
      <c r="R2537" t="str">
        <f>IF(L2537="","",6*AVERAGE($Q$7:Q2537))</f>
        <v/>
      </c>
    </row>
    <row r="2538" spans="6:18" x14ac:dyDescent="0.3">
      <c r="F2538" t="str">
        <f>IF(A2538="","",4*AVERAGE($E$7:E2538))</f>
        <v/>
      </c>
      <c r="R2538" t="str">
        <f>IF(L2538="","",6*AVERAGE($Q$7:Q2538))</f>
        <v/>
      </c>
    </row>
    <row r="2539" spans="6:18" x14ac:dyDescent="0.3">
      <c r="F2539" t="str">
        <f>IF(A2539="","",4*AVERAGE($E$7:E2539))</f>
        <v/>
      </c>
      <c r="R2539" t="str">
        <f>IF(L2539="","",6*AVERAGE($Q$7:Q2539))</f>
        <v/>
      </c>
    </row>
    <row r="2540" spans="6:18" x14ac:dyDescent="0.3">
      <c r="F2540" t="str">
        <f>IF(A2540="","",4*AVERAGE($E$7:E2540))</f>
        <v/>
      </c>
      <c r="R2540" t="str">
        <f>IF(L2540="","",6*AVERAGE($Q$7:Q2540))</f>
        <v/>
      </c>
    </row>
    <row r="2541" spans="6:18" x14ac:dyDescent="0.3">
      <c r="F2541" t="str">
        <f>IF(A2541="","",4*AVERAGE($E$7:E2541))</f>
        <v/>
      </c>
      <c r="R2541" t="str">
        <f>IF(L2541="","",6*AVERAGE($Q$7:Q2541))</f>
        <v/>
      </c>
    </row>
    <row r="2542" spans="6:18" x14ac:dyDescent="0.3">
      <c r="F2542" t="str">
        <f>IF(A2542="","",4*AVERAGE($E$7:E2542))</f>
        <v/>
      </c>
      <c r="R2542" t="str">
        <f>IF(L2542="","",6*AVERAGE($Q$7:Q2542))</f>
        <v/>
      </c>
    </row>
    <row r="2543" spans="6:18" x14ac:dyDescent="0.3">
      <c r="F2543" t="str">
        <f>IF(A2543="","",4*AVERAGE($E$7:E2543))</f>
        <v/>
      </c>
      <c r="R2543" t="str">
        <f>IF(L2543="","",6*AVERAGE($Q$7:Q2543))</f>
        <v/>
      </c>
    </row>
    <row r="2544" spans="6:18" x14ac:dyDescent="0.3">
      <c r="F2544" t="str">
        <f>IF(A2544="","",4*AVERAGE($E$7:E2544))</f>
        <v/>
      </c>
      <c r="R2544" t="str">
        <f>IF(L2544="","",6*AVERAGE($Q$7:Q2544))</f>
        <v/>
      </c>
    </row>
    <row r="2545" spans="6:18" x14ac:dyDescent="0.3">
      <c r="F2545" t="str">
        <f>IF(A2545="","",4*AVERAGE($E$7:E2545))</f>
        <v/>
      </c>
      <c r="R2545" t="str">
        <f>IF(L2545="","",6*AVERAGE($Q$7:Q2545))</f>
        <v/>
      </c>
    </row>
    <row r="2546" spans="6:18" x14ac:dyDescent="0.3">
      <c r="F2546" t="str">
        <f>IF(A2546="","",4*AVERAGE($E$7:E2546))</f>
        <v/>
      </c>
      <c r="R2546" t="str">
        <f>IF(L2546="","",6*AVERAGE($Q$7:Q2546))</f>
        <v/>
      </c>
    </row>
    <row r="2547" spans="6:18" x14ac:dyDescent="0.3">
      <c r="F2547" t="str">
        <f>IF(A2547="","",4*AVERAGE($E$7:E2547))</f>
        <v/>
      </c>
      <c r="R2547" t="str">
        <f>IF(L2547="","",6*AVERAGE($Q$7:Q2547))</f>
        <v/>
      </c>
    </row>
    <row r="2548" spans="6:18" x14ac:dyDescent="0.3">
      <c r="F2548" t="str">
        <f>IF(A2548="","",4*AVERAGE($E$7:E2548))</f>
        <v/>
      </c>
      <c r="R2548" t="str">
        <f>IF(L2548="","",6*AVERAGE($Q$7:Q2548))</f>
        <v/>
      </c>
    </row>
    <row r="2549" spans="6:18" x14ac:dyDescent="0.3">
      <c r="F2549" t="str">
        <f>IF(A2549="","",4*AVERAGE($E$7:E2549))</f>
        <v/>
      </c>
      <c r="R2549" t="str">
        <f>IF(L2549="","",6*AVERAGE($Q$7:Q2549))</f>
        <v/>
      </c>
    </row>
    <row r="2550" spans="6:18" x14ac:dyDescent="0.3">
      <c r="F2550" t="str">
        <f>IF(A2550="","",4*AVERAGE($E$7:E2550))</f>
        <v/>
      </c>
      <c r="R2550" t="str">
        <f>IF(L2550="","",6*AVERAGE($Q$7:Q2550))</f>
        <v/>
      </c>
    </row>
    <row r="2551" spans="6:18" x14ac:dyDescent="0.3">
      <c r="F2551" t="str">
        <f>IF(A2551="","",4*AVERAGE($E$7:E2551))</f>
        <v/>
      </c>
      <c r="R2551" t="str">
        <f>IF(L2551="","",6*AVERAGE($Q$7:Q2551))</f>
        <v/>
      </c>
    </row>
    <row r="2552" spans="6:18" x14ac:dyDescent="0.3">
      <c r="F2552" t="str">
        <f>IF(A2552="","",4*AVERAGE($E$7:E2552))</f>
        <v/>
      </c>
      <c r="R2552" t="str">
        <f>IF(L2552="","",6*AVERAGE($Q$7:Q2552))</f>
        <v/>
      </c>
    </row>
    <row r="2553" spans="6:18" x14ac:dyDescent="0.3">
      <c r="F2553" t="str">
        <f>IF(A2553="","",4*AVERAGE($E$7:E2553))</f>
        <v/>
      </c>
      <c r="R2553" t="str">
        <f>IF(L2553="","",6*AVERAGE($Q$7:Q2553))</f>
        <v/>
      </c>
    </row>
    <row r="2554" spans="6:18" x14ac:dyDescent="0.3">
      <c r="F2554" t="str">
        <f>IF(A2554="","",4*AVERAGE($E$7:E2554))</f>
        <v/>
      </c>
      <c r="R2554" t="str">
        <f>IF(L2554="","",6*AVERAGE($Q$7:Q2554))</f>
        <v/>
      </c>
    </row>
    <row r="2555" spans="6:18" x14ac:dyDescent="0.3">
      <c r="F2555" t="str">
        <f>IF(A2555="","",4*AVERAGE($E$7:E2555))</f>
        <v/>
      </c>
      <c r="R2555" t="str">
        <f>IF(L2555="","",6*AVERAGE($Q$7:Q2555))</f>
        <v/>
      </c>
    </row>
    <row r="2556" spans="6:18" x14ac:dyDescent="0.3">
      <c r="F2556" t="str">
        <f>IF(A2556="","",4*AVERAGE($E$7:E2556))</f>
        <v/>
      </c>
      <c r="R2556" t="str">
        <f>IF(L2556="","",6*AVERAGE($Q$7:Q2556))</f>
        <v/>
      </c>
    </row>
    <row r="2557" spans="6:18" x14ac:dyDescent="0.3">
      <c r="F2557" t="str">
        <f>IF(A2557="","",4*AVERAGE($E$7:E2557))</f>
        <v/>
      </c>
      <c r="R2557" t="str">
        <f>IF(L2557="","",6*AVERAGE($Q$7:Q2557))</f>
        <v/>
      </c>
    </row>
    <row r="2558" spans="6:18" x14ac:dyDescent="0.3">
      <c r="F2558" t="str">
        <f>IF(A2558="","",4*AVERAGE($E$7:E2558))</f>
        <v/>
      </c>
      <c r="R2558" t="str">
        <f>IF(L2558="","",6*AVERAGE($Q$7:Q2558))</f>
        <v/>
      </c>
    </row>
    <row r="2559" spans="6:18" x14ac:dyDescent="0.3">
      <c r="F2559" t="str">
        <f>IF(A2559="","",4*AVERAGE($E$7:E2559))</f>
        <v/>
      </c>
      <c r="R2559" t="str">
        <f>IF(L2559="","",6*AVERAGE($Q$7:Q2559))</f>
        <v/>
      </c>
    </row>
    <row r="2560" spans="6:18" x14ac:dyDescent="0.3">
      <c r="F2560" t="str">
        <f>IF(A2560="","",4*AVERAGE($E$7:E2560))</f>
        <v/>
      </c>
      <c r="R2560" t="str">
        <f>IF(L2560="","",6*AVERAGE($Q$7:Q2560))</f>
        <v/>
      </c>
    </row>
    <row r="2561" spans="6:18" x14ac:dyDescent="0.3">
      <c r="F2561" t="str">
        <f>IF(A2561="","",4*AVERAGE($E$7:E2561))</f>
        <v/>
      </c>
      <c r="R2561" t="str">
        <f>IF(L2561="","",6*AVERAGE($Q$7:Q2561))</f>
        <v/>
      </c>
    </row>
    <row r="2562" spans="6:18" x14ac:dyDescent="0.3">
      <c r="F2562" t="str">
        <f>IF(A2562="","",4*AVERAGE($E$7:E2562))</f>
        <v/>
      </c>
      <c r="R2562" t="str">
        <f>IF(L2562="","",6*AVERAGE($Q$7:Q2562))</f>
        <v/>
      </c>
    </row>
    <row r="2563" spans="6:18" x14ac:dyDescent="0.3">
      <c r="F2563" t="str">
        <f>IF(A2563="","",4*AVERAGE($E$7:E2563))</f>
        <v/>
      </c>
      <c r="R2563" t="str">
        <f>IF(L2563="","",6*AVERAGE($Q$7:Q2563))</f>
        <v/>
      </c>
    </row>
    <row r="2564" spans="6:18" x14ac:dyDescent="0.3">
      <c r="F2564" t="str">
        <f>IF(A2564="","",4*AVERAGE($E$7:E2564))</f>
        <v/>
      </c>
      <c r="R2564" t="str">
        <f>IF(L2564="","",6*AVERAGE($Q$7:Q2564))</f>
        <v/>
      </c>
    </row>
    <row r="2565" spans="6:18" x14ac:dyDescent="0.3">
      <c r="F2565" t="str">
        <f>IF(A2565="","",4*AVERAGE($E$7:E2565))</f>
        <v/>
      </c>
      <c r="R2565" t="str">
        <f>IF(L2565="","",6*AVERAGE($Q$7:Q2565))</f>
        <v/>
      </c>
    </row>
    <row r="2566" spans="6:18" x14ac:dyDescent="0.3">
      <c r="F2566" t="str">
        <f>IF(A2566="","",4*AVERAGE($E$7:E2566))</f>
        <v/>
      </c>
      <c r="R2566" t="str">
        <f>IF(L2566="","",6*AVERAGE($Q$7:Q2566))</f>
        <v/>
      </c>
    </row>
    <row r="2567" spans="6:18" x14ac:dyDescent="0.3">
      <c r="F2567" t="str">
        <f>IF(A2567="","",4*AVERAGE($E$7:E2567))</f>
        <v/>
      </c>
      <c r="R2567" t="str">
        <f>IF(L2567="","",6*AVERAGE($Q$7:Q2567))</f>
        <v/>
      </c>
    </row>
    <row r="2568" spans="6:18" x14ac:dyDescent="0.3">
      <c r="F2568" t="str">
        <f>IF(A2568="","",4*AVERAGE($E$7:E2568))</f>
        <v/>
      </c>
      <c r="R2568" t="str">
        <f>IF(L2568="","",6*AVERAGE($Q$7:Q2568))</f>
        <v/>
      </c>
    </row>
    <row r="2569" spans="6:18" x14ac:dyDescent="0.3">
      <c r="F2569" t="str">
        <f>IF(A2569="","",4*AVERAGE($E$7:E2569))</f>
        <v/>
      </c>
      <c r="R2569" t="str">
        <f>IF(L2569="","",6*AVERAGE($Q$7:Q2569))</f>
        <v/>
      </c>
    </row>
    <row r="2570" spans="6:18" x14ac:dyDescent="0.3">
      <c r="F2570" t="str">
        <f>IF(A2570="","",4*AVERAGE($E$7:E2570))</f>
        <v/>
      </c>
      <c r="R2570" t="str">
        <f>IF(L2570="","",6*AVERAGE($Q$7:Q2570))</f>
        <v/>
      </c>
    </row>
    <row r="2571" spans="6:18" x14ac:dyDescent="0.3">
      <c r="F2571" t="str">
        <f>IF(A2571="","",4*AVERAGE($E$7:E2571))</f>
        <v/>
      </c>
      <c r="R2571" t="str">
        <f>IF(L2571="","",6*AVERAGE($Q$7:Q2571))</f>
        <v/>
      </c>
    </row>
    <row r="2572" spans="6:18" x14ac:dyDescent="0.3">
      <c r="F2572" t="str">
        <f>IF(A2572="","",4*AVERAGE($E$7:E2572))</f>
        <v/>
      </c>
      <c r="R2572" t="str">
        <f>IF(L2572="","",6*AVERAGE($Q$7:Q2572))</f>
        <v/>
      </c>
    </row>
    <row r="2573" spans="6:18" x14ac:dyDescent="0.3">
      <c r="F2573" t="str">
        <f>IF(A2573="","",4*AVERAGE($E$7:E2573))</f>
        <v/>
      </c>
      <c r="R2573" t="str">
        <f>IF(L2573="","",6*AVERAGE($Q$7:Q2573))</f>
        <v/>
      </c>
    </row>
    <row r="2574" spans="6:18" x14ac:dyDescent="0.3">
      <c r="F2574" t="str">
        <f>IF(A2574="","",4*AVERAGE($E$7:E2574))</f>
        <v/>
      </c>
      <c r="R2574" t="str">
        <f>IF(L2574="","",6*AVERAGE($Q$7:Q2574))</f>
        <v/>
      </c>
    </row>
    <row r="2575" spans="6:18" x14ac:dyDescent="0.3">
      <c r="F2575" t="str">
        <f>IF(A2575="","",4*AVERAGE($E$7:E2575))</f>
        <v/>
      </c>
      <c r="R2575" t="str">
        <f>IF(L2575="","",6*AVERAGE($Q$7:Q2575))</f>
        <v/>
      </c>
    </row>
    <row r="2576" spans="6:18" x14ac:dyDescent="0.3">
      <c r="F2576" t="str">
        <f>IF(A2576="","",4*AVERAGE($E$7:E2576))</f>
        <v/>
      </c>
      <c r="R2576" t="str">
        <f>IF(L2576="","",6*AVERAGE($Q$7:Q2576))</f>
        <v/>
      </c>
    </row>
    <row r="2577" spans="6:18" x14ac:dyDescent="0.3">
      <c r="F2577" t="str">
        <f>IF(A2577="","",4*AVERAGE($E$7:E2577))</f>
        <v/>
      </c>
      <c r="R2577" t="str">
        <f>IF(L2577="","",6*AVERAGE($Q$7:Q2577))</f>
        <v/>
      </c>
    </row>
    <row r="2578" spans="6:18" x14ac:dyDescent="0.3">
      <c r="F2578" t="str">
        <f>IF(A2578="","",4*AVERAGE($E$7:E2578))</f>
        <v/>
      </c>
      <c r="R2578" t="str">
        <f>IF(L2578="","",6*AVERAGE($Q$7:Q2578))</f>
        <v/>
      </c>
    </row>
    <row r="2579" spans="6:18" x14ac:dyDescent="0.3">
      <c r="F2579" t="str">
        <f>IF(A2579="","",4*AVERAGE($E$7:E2579))</f>
        <v/>
      </c>
      <c r="R2579" t="str">
        <f>IF(L2579="","",6*AVERAGE($Q$7:Q2579))</f>
        <v/>
      </c>
    </row>
    <row r="2580" spans="6:18" x14ac:dyDescent="0.3">
      <c r="F2580" t="str">
        <f>IF(A2580="","",4*AVERAGE($E$7:E2580))</f>
        <v/>
      </c>
      <c r="R2580" t="str">
        <f>IF(L2580="","",6*AVERAGE($Q$7:Q2580))</f>
        <v/>
      </c>
    </row>
    <row r="2581" spans="6:18" x14ac:dyDescent="0.3">
      <c r="F2581" t="str">
        <f>IF(A2581="","",4*AVERAGE($E$7:E2581))</f>
        <v/>
      </c>
      <c r="R2581" t="str">
        <f>IF(L2581="","",6*AVERAGE($Q$7:Q2581))</f>
        <v/>
      </c>
    </row>
    <row r="2582" spans="6:18" x14ac:dyDescent="0.3">
      <c r="F2582" t="str">
        <f>IF(A2582="","",4*AVERAGE($E$7:E2582))</f>
        <v/>
      </c>
      <c r="R2582" t="str">
        <f>IF(L2582="","",6*AVERAGE($Q$7:Q2582))</f>
        <v/>
      </c>
    </row>
    <row r="2583" spans="6:18" x14ac:dyDescent="0.3">
      <c r="F2583" t="str">
        <f>IF(A2583="","",4*AVERAGE($E$7:E2583))</f>
        <v/>
      </c>
      <c r="R2583" t="str">
        <f>IF(L2583="","",6*AVERAGE($Q$7:Q2583))</f>
        <v/>
      </c>
    </row>
    <row r="2584" spans="6:18" x14ac:dyDescent="0.3">
      <c r="F2584" t="str">
        <f>IF(A2584="","",4*AVERAGE($E$7:E2584))</f>
        <v/>
      </c>
      <c r="R2584" t="str">
        <f>IF(L2584="","",6*AVERAGE($Q$7:Q2584))</f>
        <v/>
      </c>
    </row>
    <row r="2585" spans="6:18" x14ac:dyDescent="0.3">
      <c r="F2585" t="str">
        <f>IF(A2585="","",4*AVERAGE($E$7:E2585))</f>
        <v/>
      </c>
      <c r="R2585" t="str">
        <f>IF(L2585="","",6*AVERAGE($Q$7:Q2585))</f>
        <v/>
      </c>
    </row>
    <row r="2586" spans="6:18" x14ac:dyDescent="0.3">
      <c r="F2586" t="str">
        <f>IF(A2586="","",4*AVERAGE($E$7:E2586))</f>
        <v/>
      </c>
      <c r="R2586" t="str">
        <f>IF(L2586="","",6*AVERAGE($Q$7:Q2586))</f>
        <v/>
      </c>
    </row>
    <row r="2587" spans="6:18" x14ac:dyDescent="0.3">
      <c r="F2587" t="str">
        <f>IF(A2587="","",4*AVERAGE($E$7:E2587))</f>
        <v/>
      </c>
      <c r="R2587" t="str">
        <f>IF(L2587="","",6*AVERAGE($Q$7:Q2587))</f>
        <v/>
      </c>
    </row>
    <row r="2588" spans="6:18" x14ac:dyDescent="0.3">
      <c r="F2588" t="str">
        <f>IF(A2588="","",4*AVERAGE($E$7:E2588))</f>
        <v/>
      </c>
      <c r="R2588" t="str">
        <f>IF(L2588="","",6*AVERAGE($Q$7:Q2588))</f>
        <v/>
      </c>
    </row>
    <row r="2589" spans="6:18" x14ac:dyDescent="0.3">
      <c r="F2589" t="str">
        <f>IF(A2589="","",4*AVERAGE($E$7:E2589))</f>
        <v/>
      </c>
      <c r="R2589" t="str">
        <f>IF(L2589="","",6*AVERAGE($Q$7:Q2589))</f>
        <v/>
      </c>
    </row>
    <row r="2590" spans="6:18" x14ac:dyDescent="0.3">
      <c r="F2590" t="str">
        <f>IF(A2590="","",4*AVERAGE($E$7:E2590))</f>
        <v/>
      </c>
      <c r="R2590" t="str">
        <f>IF(L2590="","",6*AVERAGE($Q$7:Q2590))</f>
        <v/>
      </c>
    </row>
    <row r="2591" spans="6:18" x14ac:dyDescent="0.3">
      <c r="F2591" t="str">
        <f>IF(A2591="","",4*AVERAGE($E$7:E2591))</f>
        <v/>
      </c>
      <c r="R2591" t="str">
        <f>IF(L2591="","",6*AVERAGE($Q$7:Q2591))</f>
        <v/>
      </c>
    </row>
    <row r="2592" spans="6:18" x14ac:dyDescent="0.3">
      <c r="F2592" t="str">
        <f>IF(A2592="","",4*AVERAGE($E$7:E2592))</f>
        <v/>
      </c>
      <c r="R2592" t="str">
        <f>IF(L2592="","",6*AVERAGE($Q$7:Q2592))</f>
        <v/>
      </c>
    </row>
    <row r="2593" spans="6:18" x14ac:dyDescent="0.3">
      <c r="F2593" t="str">
        <f>IF(A2593="","",4*AVERAGE($E$7:E2593))</f>
        <v/>
      </c>
      <c r="R2593" t="str">
        <f>IF(L2593="","",6*AVERAGE($Q$7:Q2593))</f>
        <v/>
      </c>
    </row>
    <row r="2594" spans="6:18" x14ac:dyDescent="0.3">
      <c r="F2594" t="str">
        <f>IF(A2594="","",4*AVERAGE($E$7:E2594))</f>
        <v/>
      </c>
      <c r="R2594" t="str">
        <f>IF(L2594="","",6*AVERAGE($Q$7:Q2594))</f>
        <v/>
      </c>
    </row>
    <row r="2595" spans="6:18" x14ac:dyDescent="0.3">
      <c r="F2595" t="str">
        <f>IF(A2595="","",4*AVERAGE($E$7:E2595))</f>
        <v/>
      </c>
      <c r="R2595" t="str">
        <f>IF(L2595="","",6*AVERAGE($Q$7:Q2595))</f>
        <v/>
      </c>
    </row>
    <row r="2596" spans="6:18" x14ac:dyDescent="0.3">
      <c r="F2596" t="str">
        <f>IF(A2596="","",4*AVERAGE($E$7:E2596))</f>
        <v/>
      </c>
      <c r="R2596" t="str">
        <f>IF(L2596="","",6*AVERAGE($Q$7:Q2596))</f>
        <v/>
      </c>
    </row>
    <row r="2597" spans="6:18" x14ac:dyDescent="0.3">
      <c r="F2597" t="str">
        <f>IF(A2597="","",4*AVERAGE($E$7:E2597))</f>
        <v/>
      </c>
      <c r="R2597" t="str">
        <f>IF(L2597="","",6*AVERAGE($Q$7:Q2597))</f>
        <v/>
      </c>
    </row>
    <row r="2598" spans="6:18" x14ac:dyDescent="0.3">
      <c r="F2598" t="str">
        <f>IF(A2598="","",4*AVERAGE($E$7:E2598))</f>
        <v/>
      </c>
      <c r="R2598" t="str">
        <f>IF(L2598="","",6*AVERAGE($Q$7:Q2598))</f>
        <v/>
      </c>
    </row>
    <row r="2599" spans="6:18" x14ac:dyDescent="0.3">
      <c r="F2599" t="str">
        <f>IF(A2599="","",4*AVERAGE($E$7:E2599))</f>
        <v/>
      </c>
      <c r="R2599" t="str">
        <f>IF(L2599="","",6*AVERAGE($Q$7:Q2599))</f>
        <v/>
      </c>
    </row>
    <row r="2600" spans="6:18" x14ac:dyDescent="0.3">
      <c r="F2600" t="str">
        <f>IF(A2600="","",4*AVERAGE($E$7:E2600))</f>
        <v/>
      </c>
      <c r="R2600" t="str">
        <f>IF(L2600="","",6*AVERAGE($Q$7:Q2600))</f>
        <v/>
      </c>
    </row>
    <row r="2601" spans="6:18" x14ac:dyDescent="0.3">
      <c r="F2601" t="str">
        <f>IF(A2601="","",4*AVERAGE($E$7:E2601))</f>
        <v/>
      </c>
      <c r="R2601" t="str">
        <f>IF(L2601="","",6*AVERAGE($Q$7:Q2601))</f>
        <v/>
      </c>
    </row>
    <row r="2602" spans="6:18" x14ac:dyDescent="0.3">
      <c r="F2602" t="str">
        <f>IF(A2602="","",4*AVERAGE($E$7:E2602))</f>
        <v/>
      </c>
      <c r="R2602" t="str">
        <f>IF(L2602="","",6*AVERAGE($Q$7:Q2602))</f>
        <v/>
      </c>
    </row>
    <row r="2603" spans="6:18" x14ac:dyDescent="0.3">
      <c r="F2603" t="str">
        <f>IF(A2603="","",4*AVERAGE($E$7:E2603))</f>
        <v/>
      </c>
      <c r="R2603" t="str">
        <f>IF(L2603="","",6*AVERAGE($Q$7:Q2603))</f>
        <v/>
      </c>
    </row>
    <row r="2604" spans="6:18" x14ac:dyDescent="0.3">
      <c r="F2604" t="str">
        <f>IF(A2604="","",4*AVERAGE($E$7:E2604))</f>
        <v/>
      </c>
      <c r="R2604" t="str">
        <f>IF(L2604="","",6*AVERAGE($Q$7:Q2604))</f>
        <v/>
      </c>
    </row>
    <row r="2605" spans="6:18" x14ac:dyDescent="0.3">
      <c r="F2605" t="str">
        <f>IF(A2605="","",4*AVERAGE($E$7:E2605))</f>
        <v/>
      </c>
      <c r="R2605" t="str">
        <f>IF(L2605="","",6*AVERAGE($Q$7:Q2605))</f>
        <v/>
      </c>
    </row>
    <row r="2606" spans="6:18" x14ac:dyDescent="0.3">
      <c r="F2606" t="str">
        <f>IF(A2606="","",4*AVERAGE($E$7:E2606))</f>
        <v/>
      </c>
      <c r="R2606" t="str">
        <f>IF(L2606="","",6*AVERAGE($Q$7:Q2606))</f>
        <v/>
      </c>
    </row>
    <row r="2607" spans="6:18" x14ac:dyDescent="0.3">
      <c r="F2607" t="str">
        <f>IF(A2607="","",4*AVERAGE($E$7:E2607))</f>
        <v/>
      </c>
      <c r="R2607" t="str">
        <f>IF(L2607="","",6*AVERAGE($Q$7:Q2607))</f>
        <v/>
      </c>
    </row>
    <row r="2608" spans="6:18" x14ac:dyDescent="0.3">
      <c r="F2608" t="str">
        <f>IF(A2608="","",4*AVERAGE($E$7:E2608))</f>
        <v/>
      </c>
      <c r="R2608" t="str">
        <f>IF(L2608="","",6*AVERAGE($Q$7:Q2608))</f>
        <v/>
      </c>
    </row>
    <row r="2609" spans="6:18" x14ac:dyDescent="0.3">
      <c r="F2609" t="str">
        <f>IF(A2609="","",4*AVERAGE($E$7:E2609))</f>
        <v/>
      </c>
      <c r="R2609" t="str">
        <f>IF(L2609="","",6*AVERAGE($Q$7:Q2609))</f>
        <v/>
      </c>
    </row>
    <row r="2610" spans="6:18" x14ac:dyDescent="0.3">
      <c r="F2610" t="str">
        <f>IF(A2610="","",4*AVERAGE($E$7:E2610))</f>
        <v/>
      </c>
      <c r="R2610" t="str">
        <f>IF(L2610="","",6*AVERAGE($Q$7:Q2610))</f>
        <v/>
      </c>
    </row>
    <row r="2611" spans="6:18" x14ac:dyDescent="0.3">
      <c r="F2611" t="str">
        <f>IF(A2611="","",4*AVERAGE($E$7:E2611))</f>
        <v/>
      </c>
      <c r="R2611" t="str">
        <f>IF(L2611="","",6*AVERAGE($Q$7:Q2611))</f>
        <v/>
      </c>
    </row>
    <row r="2612" spans="6:18" x14ac:dyDescent="0.3">
      <c r="F2612" t="str">
        <f>IF(A2612="","",4*AVERAGE($E$7:E2612))</f>
        <v/>
      </c>
      <c r="R2612" t="str">
        <f>IF(L2612="","",6*AVERAGE($Q$7:Q2612))</f>
        <v/>
      </c>
    </row>
    <row r="2613" spans="6:18" x14ac:dyDescent="0.3">
      <c r="F2613" t="str">
        <f>IF(A2613="","",4*AVERAGE($E$7:E2613))</f>
        <v/>
      </c>
      <c r="R2613" t="str">
        <f>IF(L2613="","",6*AVERAGE($Q$7:Q2613))</f>
        <v/>
      </c>
    </row>
    <row r="2614" spans="6:18" x14ac:dyDescent="0.3">
      <c r="F2614" t="str">
        <f>IF(A2614="","",4*AVERAGE($E$7:E2614))</f>
        <v/>
      </c>
      <c r="R2614" t="str">
        <f>IF(L2614="","",6*AVERAGE($Q$7:Q2614))</f>
        <v/>
      </c>
    </row>
    <row r="2615" spans="6:18" x14ac:dyDescent="0.3">
      <c r="F2615" t="str">
        <f>IF(A2615="","",4*AVERAGE($E$7:E2615))</f>
        <v/>
      </c>
      <c r="R2615" t="str">
        <f>IF(L2615="","",6*AVERAGE($Q$7:Q2615))</f>
        <v/>
      </c>
    </row>
    <row r="2616" spans="6:18" x14ac:dyDescent="0.3">
      <c r="F2616" t="str">
        <f>IF(A2616="","",4*AVERAGE($E$7:E2616))</f>
        <v/>
      </c>
      <c r="R2616" t="str">
        <f>IF(L2616="","",6*AVERAGE($Q$7:Q2616))</f>
        <v/>
      </c>
    </row>
    <row r="2617" spans="6:18" x14ac:dyDescent="0.3">
      <c r="F2617" t="str">
        <f>IF(A2617="","",4*AVERAGE($E$7:E2617))</f>
        <v/>
      </c>
      <c r="R2617" t="str">
        <f>IF(L2617="","",6*AVERAGE($Q$7:Q2617))</f>
        <v/>
      </c>
    </row>
    <row r="2618" spans="6:18" x14ac:dyDescent="0.3">
      <c r="F2618" t="str">
        <f>IF(A2618="","",4*AVERAGE($E$7:E2618))</f>
        <v/>
      </c>
      <c r="R2618" t="str">
        <f>IF(L2618="","",6*AVERAGE($Q$7:Q2618))</f>
        <v/>
      </c>
    </row>
    <row r="2619" spans="6:18" x14ac:dyDescent="0.3">
      <c r="F2619" t="str">
        <f>IF(A2619="","",4*AVERAGE($E$7:E2619))</f>
        <v/>
      </c>
      <c r="R2619" t="str">
        <f>IF(L2619="","",6*AVERAGE($Q$7:Q2619))</f>
        <v/>
      </c>
    </row>
    <row r="2620" spans="6:18" x14ac:dyDescent="0.3">
      <c r="F2620" t="str">
        <f>IF(A2620="","",4*AVERAGE($E$7:E2620))</f>
        <v/>
      </c>
      <c r="R2620" t="str">
        <f>IF(L2620="","",6*AVERAGE($Q$7:Q2620))</f>
        <v/>
      </c>
    </row>
    <row r="2621" spans="6:18" x14ac:dyDescent="0.3">
      <c r="F2621" t="str">
        <f>IF(A2621="","",4*AVERAGE($E$7:E2621))</f>
        <v/>
      </c>
      <c r="R2621" t="str">
        <f>IF(L2621="","",6*AVERAGE($Q$7:Q2621))</f>
        <v/>
      </c>
    </row>
    <row r="2622" spans="6:18" x14ac:dyDescent="0.3">
      <c r="F2622" t="str">
        <f>IF(A2622="","",4*AVERAGE($E$7:E2622))</f>
        <v/>
      </c>
      <c r="R2622" t="str">
        <f>IF(L2622="","",6*AVERAGE($Q$7:Q2622))</f>
        <v/>
      </c>
    </row>
    <row r="2623" spans="6:18" x14ac:dyDescent="0.3">
      <c r="F2623" t="str">
        <f>IF(A2623="","",4*AVERAGE($E$7:E2623))</f>
        <v/>
      </c>
      <c r="R2623" t="str">
        <f>IF(L2623="","",6*AVERAGE($Q$7:Q2623))</f>
        <v/>
      </c>
    </row>
    <row r="2624" spans="6:18" x14ac:dyDescent="0.3">
      <c r="F2624" t="str">
        <f>IF(A2624="","",4*AVERAGE($E$7:E2624))</f>
        <v/>
      </c>
      <c r="R2624" t="str">
        <f>IF(L2624="","",6*AVERAGE($Q$7:Q2624))</f>
        <v/>
      </c>
    </row>
    <row r="2625" spans="6:18" x14ac:dyDescent="0.3">
      <c r="F2625" t="str">
        <f>IF(A2625="","",4*AVERAGE($E$7:E2625))</f>
        <v/>
      </c>
      <c r="R2625" t="str">
        <f>IF(L2625="","",6*AVERAGE($Q$7:Q2625))</f>
        <v/>
      </c>
    </row>
    <row r="2626" spans="6:18" x14ac:dyDescent="0.3">
      <c r="F2626" t="str">
        <f>IF(A2626="","",4*AVERAGE($E$7:E2626))</f>
        <v/>
      </c>
      <c r="R2626" t="str">
        <f>IF(L2626="","",6*AVERAGE($Q$7:Q2626))</f>
        <v/>
      </c>
    </row>
    <row r="2627" spans="6:18" x14ac:dyDescent="0.3">
      <c r="F2627" t="str">
        <f>IF(A2627="","",4*AVERAGE($E$7:E2627))</f>
        <v/>
      </c>
      <c r="R2627" t="str">
        <f>IF(L2627="","",6*AVERAGE($Q$7:Q2627))</f>
        <v/>
      </c>
    </row>
    <row r="2628" spans="6:18" x14ac:dyDescent="0.3">
      <c r="F2628" t="str">
        <f>IF(A2628="","",4*AVERAGE($E$7:E2628))</f>
        <v/>
      </c>
      <c r="R2628" t="str">
        <f>IF(L2628="","",6*AVERAGE($Q$7:Q2628))</f>
        <v/>
      </c>
    </row>
    <row r="2629" spans="6:18" x14ac:dyDescent="0.3">
      <c r="F2629" t="str">
        <f>IF(A2629="","",4*AVERAGE($E$7:E2629))</f>
        <v/>
      </c>
      <c r="R2629" t="str">
        <f>IF(L2629="","",6*AVERAGE($Q$7:Q2629))</f>
        <v/>
      </c>
    </row>
    <row r="2630" spans="6:18" x14ac:dyDescent="0.3">
      <c r="F2630" t="str">
        <f>IF(A2630="","",4*AVERAGE($E$7:E2630))</f>
        <v/>
      </c>
      <c r="R2630" t="str">
        <f>IF(L2630="","",6*AVERAGE($Q$7:Q2630))</f>
        <v/>
      </c>
    </row>
    <row r="2631" spans="6:18" x14ac:dyDescent="0.3">
      <c r="F2631" t="str">
        <f>IF(A2631="","",4*AVERAGE($E$7:E2631))</f>
        <v/>
      </c>
      <c r="R2631" t="str">
        <f>IF(L2631="","",6*AVERAGE($Q$7:Q2631))</f>
        <v/>
      </c>
    </row>
    <row r="2632" spans="6:18" x14ac:dyDescent="0.3">
      <c r="F2632" t="str">
        <f>IF(A2632="","",4*AVERAGE($E$7:E2632))</f>
        <v/>
      </c>
      <c r="R2632" t="str">
        <f>IF(L2632="","",6*AVERAGE($Q$7:Q2632))</f>
        <v/>
      </c>
    </row>
    <row r="2633" spans="6:18" x14ac:dyDescent="0.3">
      <c r="F2633" t="str">
        <f>IF(A2633="","",4*AVERAGE($E$7:E2633))</f>
        <v/>
      </c>
      <c r="R2633" t="str">
        <f>IF(L2633="","",6*AVERAGE($Q$7:Q2633))</f>
        <v/>
      </c>
    </row>
    <row r="2634" spans="6:18" x14ac:dyDescent="0.3">
      <c r="F2634" t="str">
        <f>IF(A2634="","",4*AVERAGE($E$7:E2634))</f>
        <v/>
      </c>
      <c r="R2634" t="str">
        <f>IF(L2634="","",6*AVERAGE($Q$7:Q2634))</f>
        <v/>
      </c>
    </row>
    <row r="2635" spans="6:18" x14ac:dyDescent="0.3">
      <c r="F2635" t="str">
        <f>IF(A2635="","",4*AVERAGE($E$7:E2635))</f>
        <v/>
      </c>
      <c r="R2635" t="str">
        <f>IF(L2635="","",6*AVERAGE($Q$7:Q2635))</f>
        <v/>
      </c>
    </row>
    <row r="2636" spans="6:18" x14ac:dyDescent="0.3">
      <c r="F2636" t="str">
        <f>IF(A2636="","",4*AVERAGE($E$7:E2636))</f>
        <v/>
      </c>
      <c r="R2636" t="str">
        <f>IF(L2636="","",6*AVERAGE($Q$7:Q2636))</f>
        <v/>
      </c>
    </row>
    <row r="2637" spans="6:18" x14ac:dyDescent="0.3">
      <c r="F2637" t="str">
        <f>IF(A2637="","",4*AVERAGE($E$7:E2637))</f>
        <v/>
      </c>
      <c r="R2637" t="str">
        <f>IF(L2637="","",6*AVERAGE($Q$7:Q2637))</f>
        <v/>
      </c>
    </row>
    <row r="2638" spans="6:18" x14ac:dyDescent="0.3">
      <c r="F2638" t="str">
        <f>IF(A2638="","",4*AVERAGE($E$7:E2638))</f>
        <v/>
      </c>
      <c r="R2638" t="str">
        <f>IF(L2638="","",6*AVERAGE($Q$7:Q2638))</f>
        <v/>
      </c>
    </row>
    <row r="2639" spans="6:18" x14ac:dyDescent="0.3">
      <c r="F2639" t="str">
        <f>IF(A2639="","",4*AVERAGE($E$7:E2639))</f>
        <v/>
      </c>
      <c r="R2639" t="str">
        <f>IF(L2639="","",6*AVERAGE($Q$7:Q2639))</f>
        <v/>
      </c>
    </row>
    <row r="2640" spans="6:18" x14ac:dyDescent="0.3">
      <c r="F2640" t="str">
        <f>IF(A2640="","",4*AVERAGE($E$7:E2640))</f>
        <v/>
      </c>
      <c r="R2640" t="str">
        <f>IF(L2640="","",6*AVERAGE($Q$7:Q2640))</f>
        <v/>
      </c>
    </row>
    <row r="2641" spans="6:18" x14ac:dyDescent="0.3">
      <c r="F2641" t="str">
        <f>IF(A2641="","",4*AVERAGE($E$7:E2641))</f>
        <v/>
      </c>
      <c r="R2641" t="str">
        <f>IF(L2641="","",6*AVERAGE($Q$7:Q2641))</f>
        <v/>
      </c>
    </row>
    <row r="2642" spans="6:18" x14ac:dyDescent="0.3">
      <c r="F2642" t="str">
        <f>IF(A2642="","",4*AVERAGE($E$7:E2642))</f>
        <v/>
      </c>
      <c r="R2642" t="str">
        <f>IF(L2642="","",6*AVERAGE($Q$7:Q2642))</f>
        <v/>
      </c>
    </row>
    <row r="2643" spans="6:18" x14ac:dyDescent="0.3">
      <c r="F2643" t="str">
        <f>IF(A2643="","",4*AVERAGE($E$7:E2643))</f>
        <v/>
      </c>
      <c r="R2643" t="str">
        <f>IF(L2643="","",6*AVERAGE($Q$7:Q2643))</f>
        <v/>
      </c>
    </row>
    <row r="2644" spans="6:18" x14ac:dyDescent="0.3">
      <c r="F2644" t="str">
        <f>IF(A2644="","",4*AVERAGE($E$7:E2644))</f>
        <v/>
      </c>
      <c r="R2644" t="str">
        <f>IF(L2644="","",6*AVERAGE($Q$7:Q2644))</f>
        <v/>
      </c>
    </row>
    <row r="2645" spans="6:18" x14ac:dyDescent="0.3">
      <c r="F2645" t="str">
        <f>IF(A2645="","",4*AVERAGE($E$7:E2645))</f>
        <v/>
      </c>
      <c r="R2645" t="str">
        <f>IF(L2645="","",6*AVERAGE($Q$7:Q2645))</f>
        <v/>
      </c>
    </row>
    <row r="2646" spans="6:18" x14ac:dyDescent="0.3">
      <c r="F2646" t="str">
        <f>IF(A2646="","",4*AVERAGE($E$7:E2646))</f>
        <v/>
      </c>
      <c r="R2646" t="str">
        <f>IF(L2646="","",6*AVERAGE($Q$7:Q2646))</f>
        <v/>
      </c>
    </row>
    <row r="2647" spans="6:18" x14ac:dyDescent="0.3">
      <c r="F2647" t="str">
        <f>IF(A2647="","",4*AVERAGE($E$7:E2647))</f>
        <v/>
      </c>
      <c r="R2647" t="str">
        <f>IF(L2647="","",6*AVERAGE($Q$7:Q2647))</f>
        <v/>
      </c>
    </row>
    <row r="2648" spans="6:18" x14ac:dyDescent="0.3">
      <c r="F2648" t="str">
        <f>IF(A2648="","",4*AVERAGE($E$7:E2648))</f>
        <v/>
      </c>
      <c r="R2648" t="str">
        <f>IF(L2648="","",6*AVERAGE($Q$7:Q2648))</f>
        <v/>
      </c>
    </row>
    <row r="2649" spans="6:18" x14ac:dyDescent="0.3">
      <c r="F2649" t="str">
        <f>IF(A2649="","",4*AVERAGE($E$7:E2649))</f>
        <v/>
      </c>
      <c r="R2649" t="str">
        <f>IF(L2649="","",6*AVERAGE($Q$7:Q2649))</f>
        <v/>
      </c>
    </row>
    <row r="2650" spans="6:18" x14ac:dyDescent="0.3">
      <c r="F2650" t="str">
        <f>IF(A2650="","",4*AVERAGE($E$7:E2650))</f>
        <v/>
      </c>
      <c r="R2650" t="str">
        <f>IF(L2650="","",6*AVERAGE($Q$7:Q2650))</f>
        <v/>
      </c>
    </row>
    <row r="2651" spans="6:18" x14ac:dyDescent="0.3">
      <c r="F2651" t="str">
        <f>IF(A2651="","",4*AVERAGE($E$7:E2651))</f>
        <v/>
      </c>
      <c r="R2651" t="str">
        <f>IF(L2651="","",6*AVERAGE($Q$7:Q2651))</f>
        <v/>
      </c>
    </row>
    <row r="2652" spans="6:18" x14ac:dyDescent="0.3">
      <c r="F2652" t="str">
        <f>IF(A2652="","",4*AVERAGE($E$7:E2652))</f>
        <v/>
      </c>
      <c r="R2652" t="str">
        <f>IF(L2652="","",6*AVERAGE($Q$7:Q2652))</f>
        <v/>
      </c>
    </row>
    <row r="2653" spans="6:18" x14ac:dyDescent="0.3">
      <c r="F2653" t="str">
        <f>IF(A2653="","",4*AVERAGE($E$7:E2653))</f>
        <v/>
      </c>
      <c r="R2653" t="str">
        <f>IF(L2653="","",6*AVERAGE($Q$7:Q2653))</f>
        <v/>
      </c>
    </row>
    <row r="2654" spans="6:18" x14ac:dyDescent="0.3">
      <c r="F2654" t="str">
        <f>IF(A2654="","",4*AVERAGE($E$7:E2654))</f>
        <v/>
      </c>
      <c r="R2654" t="str">
        <f>IF(L2654="","",6*AVERAGE($Q$7:Q2654))</f>
        <v/>
      </c>
    </row>
    <row r="2655" spans="6:18" x14ac:dyDescent="0.3">
      <c r="F2655" t="str">
        <f>IF(A2655="","",4*AVERAGE($E$7:E2655))</f>
        <v/>
      </c>
      <c r="R2655" t="str">
        <f>IF(L2655="","",6*AVERAGE($Q$7:Q2655))</f>
        <v/>
      </c>
    </row>
    <row r="2656" spans="6:18" x14ac:dyDescent="0.3">
      <c r="F2656" t="str">
        <f>IF(A2656="","",4*AVERAGE($E$7:E2656))</f>
        <v/>
      </c>
      <c r="R2656" t="str">
        <f>IF(L2656="","",6*AVERAGE($Q$7:Q2656))</f>
        <v/>
      </c>
    </row>
    <row r="2657" spans="6:18" x14ac:dyDescent="0.3">
      <c r="F2657" t="str">
        <f>IF(A2657="","",4*AVERAGE($E$7:E2657))</f>
        <v/>
      </c>
      <c r="R2657" t="str">
        <f>IF(L2657="","",6*AVERAGE($Q$7:Q2657))</f>
        <v/>
      </c>
    </row>
    <row r="2658" spans="6:18" x14ac:dyDescent="0.3">
      <c r="F2658" t="str">
        <f>IF(A2658="","",4*AVERAGE($E$7:E2658))</f>
        <v/>
      </c>
      <c r="R2658" t="str">
        <f>IF(L2658="","",6*AVERAGE($Q$7:Q2658))</f>
        <v/>
      </c>
    </row>
    <row r="2659" spans="6:18" x14ac:dyDescent="0.3">
      <c r="F2659" t="str">
        <f>IF(A2659="","",4*AVERAGE($E$7:E2659))</f>
        <v/>
      </c>
      <c r="R2659" t="str">
        <f>IF(L2659="","",6*AVERAGE($Q$7:Q2659))</f>
        <v/>
      </c>
    </row>
    <row r="2660" spans="6:18" x14ac:dyDescent="0.3">
      <c r="F2660" t="str">
        <f>IF(A2660="","",4*AVERAGE($E$7:E2660))</f>
        <v/>
      </c>
      <c r="R2660" t="str">
        <f>IF(L2660="","",6*AVERAGE($Q$7:Q2660))</f>
        <v/>
      </c>
    </row>
    <row r="2661" spans="6:18" x14ac:dyDescent="0.3">
      <c r="F2661" t="str">
        <f>IF(A2661="","",4*AVERAGE($E$7:E2661))</f>
        <v/>
      </c>
      <c r="R2661" t="str">
        <f>IF(L2661="","",6*AVERAGE($Q$7:Q2661))</f>
        <v/>
      </c>
    </row>
    <row r="2662" spans="6:18" x14ac:dyDescent="0.3">
      <c r="F2662" t="str">
        <f>IF(A2662="","",4*AVERAGE($E$7:E2662))</f>
        <v/>
      </c>
      <c r="R2662" t="str">
        <f>IF(L2662="","",6*AVERAGE($Q$7:Q2662))</f>
        <v/>
      </c>
    </row>
    <row r="2663" spans="6:18" x14ac:dyDescent="0.3">
      <c r="F2663" t="str">
        <f>IF(A2663="","",4*AVERAGE($E$7:E2663))</f>
        <v/>
      </c>
      <c r="R2663" t="str">
        <f>IF(L2663="","",6*AVERAGE($Q$7:Q2663))</f>
        <v/>
      </c>
    </row>
    <row r="2664" spans="6:18" x14ac:dyDescent="0.3">
      <c r="F2664" t="str">
        <f>IF(A2664="","",4*AVERAGE($E$7:E2664))</f>
        <v/>
      </c>
      <c r="R2664" t="str">
        <f>IF(L2664="","",6*AVERAGE($Q$7:Q2664))</f>
        <v/>
      </c>
    </row>
    <row r="2665" spans="6:18" x14ac:dyDescent="0.3">
      <c r="F2665" t="str">
        <f>IF(A2665="","",4*AVERAGE($E$7:E2665))</f>
        <v/>
      </c>
      <c r="R2665" t="str">
        <f>IF(L2665="","",6*AVERAGE($Q$7:Q2665))</f>
        <v/>
      </c>
    </row>
    <row r="2666" spans="6:18" x14ac:dyDescent="0.3">
      <c r="F2666" t="str">
        <f>IF(A2666="","",4*AVERAGE($E$7:E2666))</f>
        <v/>
      </c>
      <c r="R2666" t="str">
        <f>IF(L2666="","",6*AVERAGE($Q$7:Q2666))</f>
        <v/>
      </c>
    </row>
    <row r="2667" spans="6:18" x14ac:dyDescent="0.3">
      <c r="F2667" t="str">
        <f>IF(A2667="","",4*AVERAGE($E$7:E2667))</f>
        <v/>
      </c>
      <c r="R2667" t="str">
        <f>IF(L2667="","",6*AVERAGE($Q$7:Q2667))</f>
        <v/>
      </c>
    </row>
    <row r="2668" spans="6:18" x14ac:dyDescent="0.3">
      <c r="F2668" t="str">
        <f>IF(A2668="","",4*AVERAGE($E$7:E2668))</f>
        <v/>
      </c>
      <c r="R2668" t="str">
        <f>IF(L2668="","",6*AVERAGE($Q$7:Q2668))</f>
        <v/>
      </c>
    </row>
    <row r="2669" spans="6:18" x14ac:dyDescent="0.3">
      <c r="F2669" t="str">
        <f>IF(A2669="","",4*AVERAGE($E$7:E2669))</f>
        <v/>
      </c>
      <c r="R2669" t="str">
        <f>IF(L2669="","",6*AVERAGE($Q$7:Q2669))</f>
        <v/>
      </c>
    </row>
    <row r="2670" spans="6:18" x14ac:dyDescent="0.3">
      <c r="F2670" t="str">
        <f>IF(A2670="","",4*AVERAGE($E$7:E2670))</f>
        <v/>
      </c>
      <c r="R2670" t="str">
        <f>IF(L2670="","",6*AVERAGE($Q$7:Q2670))</f>
        <v/>
      </c>
    </row>
    <row r="2671" spans="6:18" x14ac:dyDescent="0.3">
      <c r="F2671" t="str">
        <f>IF(A2671="","",4*AVERAGE($E$7:E2671))</f>
        <v/>
      </c>
      <c r="R2671" t="str">
        <f>IF(L2671="","",6*AVERAGE($Q$7:Q2671))</f>
        <v/>
      </c>
    </row>
    <row r="2672" spans="6:18" x14ac:dyDescent="0.3">
      <c r="F2672" t="str">
        <f>IF(A2672="","",4*AVERAGE($E$7:E2672))</f>
        <v/>
      </c>
      <c r="R2672" t="str">
        <f>IF(L2672="","",6*AVERAGE($Q$7:Q2672))</f>
        <v/>
      </c>
    </row>
    <row r="2673" spans="6:18" x14ac:dyDescent="0.3">
      <c r="F2673" t="str">
        <f>IF(A2673="","",4*AVERAGE($E$7:E2673))</f>
        <v/>
      </c>
      <c r="R2673" t="str">
        <f>IF(L2673="","",6*AVERAGE($Q$7:Q2673))</f>
        <v/>
      </c>
    </row>
    <row r="2674" spans="6:18" x14ac:dyDescent="0.3">
      <c r="F2674" t="str">
        <f>IF(A2674="","",4*AVERAGE($E$7:E2674))</f>
        <v/>
      </c>
      <c r="R2674" t="str">
        <f>IF(L2674="","",6*AVERAGE($Q$7:Q2674))</f>
        <v/>
      </c>
    </row>
    <row r="2675" spans="6:18" x14ac:dyDescent="0.3">
      <c r="F2675" t="str">
        <f>IF(A2675="","",4*AVERAGE($E$7:E2675))</f>
        <v/>
      </c>
      <c r="R2675" t="str">
        <f>IF(L2675="","",6*AVERAGE($Q$7:Q2675))</f>
        <v/>
      </c>
    </row>
    <row r="2676" spans="6:18" x14ac:dyDescent="0.3">
      <c r="F2676" t="str">
        <f>IF(A2676="","",4*AVERAGE($E$7:E2676))</f>
        <v/>
      </c>
      <c r="R2676" t="str">
        <f>IF(L2676="","",6*AVERAGE($Q$7:Q2676))</f>
        <v/>
      </c>
    </row>
    <row r="2677" spans="6:18" x14ac:dyDescent="0.3">
      <c r="F2677" t="str">
        <f>IF(A2677="","",4*AVERAGE($E$7:E2677))</f>
        <v/>
      </c>
      <c r="R2677" t="str">
        <f>IF(L2677="","",6*AVERAGE($Q$7:Q2677))</f>
        <v/>
      </c>
    </row>
    <row r="2678" spans="6:18" x14ac:dyDescent="0.3">
      <c r="F2678" t="str">
        <f>IF(A2678="","",4*AVERAGE($E$7:E2678))</f>
        <v/>
      </c>
      <c r="R2678" t="str">
        <f>IF(L2678="","",6*AVERAGE($Q$7:Q2678))</f>
        <v/>
      </c>
    </row>
    <row r="2679" spans="6:18" x14ac:dyDescent="0.3">
      <c r="F2679" t="str">
        <f>IF(A2679="","",4*AVERAGE($E$7:E2679))</f>
        <v/>
      </c>
      <c r="R2679" t="str">
        <f>IF(L2679="","",6*AVERAGE($Q$7:Q2679))</f>
        <v/>
      </c>
    </row>
    <row r="2680" spans="6:18" x14ac:dyDescent="0.3">
      <c r="F2680" t="str">
        <f>IF(A2680="","",4*AVERAGE($E$7:E2680))</f>
        <v/>
      </c>
      <c r="R2680" t="str">
        <f>IF(L2680="","",6*AVERAGE($Q$7:Q2680))</f>
        <v/>
      </c>
    </row>
    <row r="2681" spans="6:18" x14ac:dyDescent="0.3">
      <c r="F2681" t="str">
        <f>IF(A2681="","",4*AVERAGE($E$7:E2681))</f>
        <v/>
      </c>
      <c r="R2681" t="str">
        <f>IF(L2681="","",6*AVERAGE($Q$7:Q2681))</f>
        <v/>
      </c>
    </row>
    <row r="2682" spans="6:18" x14ac:dyDescent="0.3">
      <c r="F2682" t="str">
        <f>IF(A2682="","",4*AVERAGE($E$7:E2682))</f>
        <v/>
      </c>
      <c r="R2682" t="str">
        <f>IF(L2682="","",6*AVERAGE($Q$7:Q2682))</f>
        <v/>
      </c>
    </row>
    <row r="2683" spans="6:18" x14ac:dyDescent="0.3">
      <c r="F2683" t="str">
        <f>IF(A2683="","",4*AVERAGE($E$7:E2683))</f>
        <v/>
      </c>
      <c r="R2683" t="str">
        <f>IF(L2683="","",6*AVERAGE($Q$7:Q2683))</f>
        <v/>
      </c>
    </row>
    <row r="2684" spans="6:18" x14ac:dyDescent="0.3">
      <c r="F2684" t="str">
        <f>IF(A2684="","",4*AVERAGE($E$7:E2684))</f>
        <v/>
      </c>
      <c r="R2684" t="str">
        <f>IF(L2684="","",6*AVERAGE($Q$7:Q2684))</f>
        <v/>
      </c>
    </row>
    <row r="2685" spans="6:18" x14ac:dyDescent="0.3">
      <c r="F2685" t="str">
        <f>IF(A2685="","",4*AVERAGE($E$7:E2685))</f>
        <v/>
      </c>
      <c r="R2685" t="str">
        <f>IF(L2685="","",6*AVERAGE($Q$7:Q2685))</f>
        <v/>
      </c>
    </row>
    <row r="2686" spans="6:18" x14ac:dyDescent="0.3">
      <c r="F2686" t="str">
        <f>IF(A2686="","",4*AVERAGE($E$7:E2686))</f>
        <v/>
      </c>
      <c r="R2686" t="str">
        <f>IF(L2686="","",6*AVERAGE($Q$7:Q2686))</f>
        <v/>
      </c>
    </row>
    <row r="2687" spans="6:18" x14ac:dyDescent="0.3">
      <c r="F2687" t="str">
        <f>IF(A2687="","",4*AVERAGE($E$7:E2687))</f>
        <v/>
      </c>
      <c r="R2687" t="str">
        <f>IF(L2687="","",6*AVERAGE($Q$7:Q2687))</f>
        <v/>
      </c>
    </row>
    <row r="2688" spans="6:18" x14ac:dyDescent="0.3">
      <c r="F2688" t="str">
        <f>IF(A2688="","",4*AVERAGE($E$7:E2688))</f>
        <v/>
      </c>
      <c r="R2688" t="str">
        <f>IF(L2688="","",6*AVERAGE($Q$7:Q2688))</f>
        <v/>
      </c>
    </row>
    <row r="2689" spans="6:18" x14ac:dyDescent="0.3">
      <c r="F2689" t="str">
        <f>IF(A2689="","",4*AVERAGE($E$7:E2689))</f>
        <v/>
      </c>
      <c r="R2689" t="str">
        <f>IF(L2689="","",6*AVERAGE($Q$7:Q2689))</f>
        <v/>
      </c>
    </row>
    <row r="2690" spans="6:18" x14ac:dyDescent="0.3">
      <c r="F2690" t="str">
        <f>IF(A2690="","",4*AVERAGE($E$7:E2690))</f>
        <v/>
      </c>
      <c r="R2690" t="str">
        <f>IF(L2690="","",6*AVERAGE($Q$7:Q2690))</f>
        <v/>
      </c>
    </row>
    <row r="2691" spans="6:18" x14ac:dyDescent="0.3">
      <c r="F2691" t="str">
        <f>IF(A2691="","",4*AVERAGE($E$7:E2691))</f>
        <v/>
      </c>
      <c r="R2691" t="str">
        <f>IF(L2691="","",6*AVERAGE($Q$7:Q2691))</f>
        <v/>
      </c>
    </row>
    <row r="2692" spans="6:18" x14ac:dyDescent="0.3">
      <c r="F2692" t="str">
        <f>IF(A2692="","",4*AVERAGE($E$7:E2692))</f>
        <v/>
      </c>
      <c r="R2692" t="str">
        <f>IF(L2692="","",6*AVERAGE($Q$7:Q2692))</f>
        <v/>
      </c>
    </row>
    <row r="2693" spans="6:18" x14ac:dyDescent="0.3">
      <c r="F2693" t="str">
        <f>IF(A2693="","",4*AVERAGE($E$7:E2693))</f>
        <v/>
      </c>
      <c r="R2693" t="str">
        <f>IF(L2693="","",6*AVERAGE($Q$7:Q2693))</f>
        <v/>
      </c>
    </row>
    <row r="2694" spans="6:18" x14ac:dyDescent="0.3">
      <c r="F2694" t="str">
        <f>IF(A2694="","",4*AVERAGE($E$7:E2694))</f>
        <v/>
      </c>
      <c r="R2694" t="str">
        <f>IF(L2694="","",6*AVERAGE($Q$7:Q2694))</f>
        <v/>
      </c>
    </row>
    <row r="2695" spans="6:18" x14ac:dyDescent="0.3">
      <c r="F2695" t="str">
        <f>IF(A2695="","",4*AVERAGE($E$7:E2695))</f>
        <v/>
      </c>
      <c r="R2695" t="str">
        <f>IF(L2695="","",6*AVERAGE($Q$7:Q2695))</f>
        <v/>
      </c>
    </row>
    <row r="2696" spans="6:18" x14ac:dyDescent="0.3">
      <c r="F2696" t="str">
        <f>IF(A2696="","",4*AVERAGE($E$7:E2696))</f>
        <v/>
      </c>
      <c r="R2696" t="str">
        <f>IF(L2696="","",6*AVERAGE($Q$7:Q2696))</f>
        <v/>
      </c>
    </row>
    <row r="2697" spans="6:18" x14ac:dyDescent="0.3">
      <c r="F2697" t="str">
        <f>IF(A2697="","",4*AVERAGE($E$7:E2697))</f>
        <v/>
      </c>
      <c r="R2697" t="str">
        <f>IF(L2697="","",6*AVERAGE($Q$7:Q2697))</f>
        <v/>
      </c>
    </row>
    <row r="2698" spans="6:18" x14ac:dyDescent="0.3">
      <c r="F2698" t="str">
        <f>IF(A2698="","",4*AVERAGE($E$7:E2698))</f>
        <v/>
      </c>
      <c r="R2698" t="str">
        <f>IF(L2698="","",6*AVERAGE($Q$7:Q2698))</f>
        <v/>
      </c>
    </row>
    <row r="2699" spans="6:18" x14ac:dyDescent="0.3">
      <c r="F2699" t="str">
        <f>IF(A2699="","",4*AVERAGE($E$7:E2699))</f>
        <v/>
      </c>
      <c r="R2699" t="str">
        <f>IF(L2699="","",6*AVERAGE($Q$7:Q2699))</f>
        <v/>
      </c>
    </row>
    <row r="2700" spans="6:18" x14ac:dyDescent="0.3">
      <c r="F2700" t="str">
        <f>IF(A2700="","",4*AVERAGE($E$7:E2700))</f>
        <v/>
      </c>
      <c r="R2700" t="str">
        <f>IF(L2700="","",6*AVERAGE($Q$7:Q2700))</f>
        <v/>
      </c>
    </row>
    <row r="2701" spans="6:18" x14ac:dyDescent="0.3">
      <c r="F2701" t="str">
        <f>IF(A2701="","",4*AVERAGE($E$7:E2701))</f>
        <v/>
      </c>
      <c r="R2701" t="str">
        <f>IF(L2701="","",6*AVERAGE($Q$7:Q2701))</f>
        <v/>
      </c>
    </row>
    <row r="2702" spans="6:18" x14ac:dyDescent="0.3">
      <c r="F2702" t="str">
        <f>IF(A2702="","",4*AVERAGE($E$7:E2702))</f>
        <v/>
      </c>
      <c r="R2702" t="str">
        <f>IF(L2702="","",6*AVERAGE($Q$7:Q2702))</f>
        <v/>
      </c>
    </row>
    <row r="2703" spans="6:18" x14ac:dyDescent="0.3">
      <c r="F2703" t="str">
        <f>IF(A2703="","",4*AVERAGE($E$7:E2703))</f>
        <v/>
      </c>
      <c r="R2703" t="str">
        <f>IF(L2703="","",6*AVERAGE($Q$7:Q2703))</f>
        <v/>
      </c>
    </row>
    <row r="2704" spans="6:18" x14ac:dyDescent="0.3">
      <c r="F2704" t="str">
        <f>IF(A2704="","",4*AVERAGE($E$7:E2704))</f>
        <v/>
      </c>
      <c r="R2704" t="str">
        <f>IF(L2704="","",6*AVERAGE($Q$7:Q2704))</f>
        <v/>
      </c>
    </row>
    <row r="2705" spans="6:18" x14ac:dyDescent="0.3">
      <c r="F2705" t="str">
        <f>IF(A2705="","",4*AVERAGE($E$7:E2705))</f>
        <v/>
      </c>
      <c r="R2705" t="str">
        <f>IF(L2705="","",6*AVERAGE($Q$7:Q2705))</f>
        <v/>
      </c>
    </row>
    <row r="2706" spans="6:18" x14ac:dyDescent="0.3">
      <c r="F2706" t="str">
        <f>IF(A2706="","",4*AVERAGE($E$7:E2706))</f>
        <v/>
      </c>
      <c r="R2706" t="str">
        <f>IF(L2706="","",6*AVERAGE($Q$7:Q2706))</f>
        <v/>
      </c>
    </row>
    <row r="2707" spans="6:18" x14ac:dyDescent="0.3">
      <c r="F2707" t="str">
        <f>IF(A2707="","",4*AVERAGE($E$7:E2707))</f>
        <v/>
      </c>
      <c r="R2707" t="str">
        <f>IF(L2707="","",6*AVERAGE($Q$7:Q2707))</f>
        <v/>
      </c>
    </row>
    <row r="2708" spans="6:18" x14ac:dyDescent="0.3">
      <c r="F2708" t="str">
        <f>IF(A2708="","",4*AVERAGE($E$7:E2708))</f>
        <v/>
      </c>
      <c r="R2708" t="str">
        <f>IF(L2708="","",6*AVERAGE($Q$7:Q2708))</f>
        <v/>
      </c>
    </row>
    <row r="2709" spans="6:18" x14ac:dyDescent="0.3">
      <c r="F2709" t="str">
        <f>IF(A2709="","",4*AVERAGE($E$7:E2709))</f>
        <v/>
      </c>
      <c r="R2709" t="str">
        <f>IF(L2709="","",6*AVERAGE($Q$7:Q2709))</f>
        <v/>
      </c>
    </row>
    <row r="2710" spans="6:18" x14ac:dyDescent="0.3">
      <c r="F2710" t="str">
        <f>IF(A2710="","",4*AVERAGE($E$7:E2710))</f>
        <v/>
      </c>
      <c r="R2710" t="str">
        <f>IF(L2710="","",6*AVERAGE($Q$7:Q2710))</f>
        <v/>
      </c>
    </row>
    <row r="2711" spans="6:18" x14ac:dyDescent="0.3">
      <c r="F2711" t="str">
        <f>IF(A2711="","",4*AVERAGE($E$7:E2711))</f>
        <v/>
      </c>
      <c r="R2711" t="str">
        <f>IF(L2711="","",6*AVERAGE($Q$7:Q2711))</f>
        <v/>
      </c>
    </row>
    <row r="2712" spans="6:18" x14ac:dyDescent="0.3">
      <c r="F2712" t="str">
        <f>IF(A2712="","",4*AVERAGE($E$7:E2712))</f>
        <v/>
      </c>
      <c r="R2712" t="str">
        <f>IF(L2712="","",6*AVERAGE($Q$7:Q2712))</f>
        <v/>
      </c>
    </row>
    <row r="2713" spans="6:18" x14ac:dyDescent="0.3">
      <c r="F2713" t="str">
        <f>IF(A2713="","",4*AVERAGE($E$7:E2713))</f>
        <v/>
      </c>
      <c r="R2713" t="str">
        <f>IF(L2713="","",6*AVERAGE($Q$7:Q2713))</f>
        <v/>
      </c>
    </row>
    <row r="2714" spans="6:18" x14ac:dyDescent="0.3">
      <c r="F2714" t="str">
        <f>IF(A2714="","",4*AVERAGE($E$7:E2714))</f>
        <v/>
      </c>
      <c r="R2714" t="str">
        <f>IF(L2714="","",6*AVERAGE($Q$7:Q2714))</f>
        <v/>
      </c>
    </row>
    <row r="2715" spans="6:18" x14ac:dyDescent="0.3">
      <c r="F2715" t="str">
        <f>IF(A2715="","",4*AVERAGE($E$7:E2715))</f>
        <v/>
      </c>
      <c r="R2715" t="str">
        <f>IF(L2715="","",6*AVERAGE($Q$7:Q2715))</f>
        <v/>
      </c>
    </row>
    <row r="2716" spans="6:18" x14ac:dyDescent="0.3">
      <c r="F2716" t="str">
        <f>IF(A2716="","",4*AVERAGE($E$7:E2716))</f>
        <v/>
      </c>
      <c r="R2716" t="str">
        <f>IF(L2716="","",6*AVERAGE($Q$7:Q2716))</f>
        <v/>
      </c>
    </row>
    <row r="2717" spans="6:18" x14ac:dyDescent="0.3">
      <c r="F2717" t="str">
        <f>IF(A2717="","",4*AVERAGE($E$7:E2717))</f>
        <v/>
      </c>
      <c r="R2717" t="str">
        <f>IF(L2717="","",6*AVERAGE($Q$7:Q2717))</f>
        <v/>
      </c>
    </row>
    <row r="2718" spans="6:18" x14ac:dyDescent="0.3">
      <c r="F2718" t="str">
        <f>IF(A2718="","",4*AVERAGE($E$7:E2718))</f>
        <v/>
      </c>
      <c r="R2718" t="str">
        <f>IF(L2718="","",6*AVERAGE($Q$7:Q2718))</f>
        <v/>
      </c>
    </row>
    <row r="2719" spans="6:18" x14ac:dyDescent="0.3">
      <c r="F2719" t="str">
        <f>IF(A2719="","",4*AVERAGE($E$7:E2719))</f>
        <v/>
      </c>
      <c r="R2719" t="str">
        <f>IF(L2719="","",6*AVERAGE($Q$7:Q2719))</f>
        <v/>
      </c>
    </row>
    <row r="2720" spans="6:18" x14ac:dyDescent="0.3">
      <c r="F2720" t="str">
        <f>IF(A2720="","",4*AVERAGE($E$7:E2720))</f>
        <v/>
      </c>
      <c r="R2720" t="str">
        <f>IF(L2720="","",6*AVERAGE($Q$7:Q2720))</f>
        <v/>
      </c>
    </row>
    <row r="2721" spans="6:18" x14ac:dyDescent="0.3">
      <c r="F2721" t="str">
        <f>IF(A2721="","",4*AVERAGE($E$7:E2721))</f>
        <v/>
      </c>
      <c r="R2721" t="str">
        <f>IF(L2721="","",6*AVERAGE($Q$7:Q2721))</f>
        <v/>
      </c>
    </row>
    <row r="2722" spans="6:18" x14ac:dyDescent="0.3">
      <c r="F2722" t="str">
        <f>IF(A2722="","",4*AVERAGE($E$7:E2722))</f>
        <v/>
      </c>
      <c r="R2722" t="str">
        <f>IF(L2722="","",6*AVERAGE($Q$7:Q2722))</f>
        <v/>
      </c>
    </row>
    <row r="2723" spans="6:18" x14ac:dyDescent="0.3">
      <c r="F2723" t="str">
        <f>IF(A2723="","",4*AVERAGE($E$7:E2723))</f>
        <v/>
      </c>
      <c r="R2723" t="str">
        <f>IF(L2723="","",6*AVERAGE($Q$7:Q2723))</f>
        <v/>
      </c>
    </row>
    <row r="2724" spans="6:18" x14ac:dyDescent="0.3">
      <c r="F2724" t="str">
        <f>IF(A2724="","",4*AVERAGE($E$7:E2724))</f>
        <v/>
      </c>
      <c r="R2724" t="str">
        <f>IF(L2724="","",6*AVERAGE($Q$7:Q2724))</f>
        <v/>
      </c>
    </row>
    <row r="2725" spans="6:18" x14ac:dyDescent="0.3">
      <c r="F2725" t="str">
        <f>IF(A2725="","",4*AVERAGE($E$7:E2725))</f>
        <v/>
      </c>
      <c r="R2725" t="str">
        <f>IF(L2725="","",6*AVERAGE($Q$7:Q2725))</f>
        <v/>
      </c>
    </row>
    <row r="2726" spans="6:18" x14ac:dyDescent="0.3">
      <c r="F2726" t="str">
        <f>IF(A2726="","",4*AVERAGE($E$7:E2726))</f>
        <v/>
      </c>
      <c r="R2726" t="str">
        <f>IF(L2726="","",6*AVERAGE($Q$7:Q2726))</f>
        <v/>
      </c>
    </row>
    <row r="2727" spans="6:18" x14ac:dyDescent="0.3">
      <c r="F2727" t="str">
        <f>IF(A2727="","",4*AVERAGE($E$7:E2727))</f>
        <v/>
      </c>
      <c r="R2727" t="str">
        <f>IF(L2727="","",6*AVERAGE($Q$7:Q2727))</f>
        <v/>
      </c>
    </row>
    <row r="2728" spans="6:18" x14ac:dyDescent="0.3">
      <c r="F2728" t="str">
        <f>IF(A2728="","",4*AVERAGE($E$7:E2728))</f>
        <v/>
      </c>
      <c r="R2728" t="str">
        <f>IF(L2728="","",6*AVERAGE($Q$7:Q2728))</f>
        <v/>
      </c>
    </row>
    <row r="2729" spans="6:18" x14ac:dyDescent="0.3">
      <c r="F2729" t="str">
        <f>IF(A2729="","",4*AVERAGE($E$7:E2729))</f>
        <v/>
      </c>
      <c r="R2729" t="str">
        <f>IF(L2729="","",6*AVERAGE($Q$7:Q2729))</f>
        <v/>
      </c>
    </row>
    <row r="2730" spans="6:18" x14ac:dyDescent="0.3">
      <c r="F2730" t="str">
        <f>IF(A2730="","",4*AVERAGE($E$7:E2730))</f>
        <v/>
      </c>
      <c r="R2730" t="str">
        <f>IF(L2730="","",6*AVERAGE($Q$7:Q2730))</f>
        <v/>
      </c>
    </row>
    <row r="2731" spans="6:18" x14ac:dyDescent="0.3">
      <c r="F2731" t="str">
        <f>IF(A2731="","",4*AVERAGE($E$7:E2731))</f>
        <v/>
      </c>
      <c r="R2731" t="str">
        <f>IF(L2731="","",6*AVERAGE($Q$7:Q2731))</f>
        <v/>
      </c>
    </row>
    <row r="2732" spans="6:18" x14ac:dyDescent="0.3">
      <c r="F2732" t="str">
        <f>IF(A2732="","",4*AVERAGE($E$7:E2732))</f>
        <v/>
      </c>
      <c r="R2732" t="str">
        <f>IF(L2732="","",6*AVERAGE($Q$7:Q2732))</f>
        <v/>
      </c>
    </row>
    <row r="2733" spans="6:18" x14ac:dyDescent="0.3">
      <c r="F2733" t="str">
        <f>IF(A2733="","",4*AVERAGE($E$7:E2733))</f>
        <v/>
      </c>
      <c r="R2733" t="str">
        <f>IF(L2733="","",6*AVERAGE($Q$7:Q2733))</f>
        <v/>
      </c>
    </row>
    <row r="2734" spans="6:18" x14ac:dyDescent="0.3">
      <c r="F2734" t="str">
        <f>IF(A2734="","",4*AVERAGE($E$7:E2734))</f>
        <v/>
      </c>
      <c r="R2734" t="str">
        <f>IF(L2734="","",6*AVERAGE($Q$7:Q2734))</f>
        <v/>
      </c>
    </row>
    <row r="2735" spans="6:18" x14ac:dyDescent="0.3">
      <c r="F2735" t="str">
        <f>IF(A2735="","",4*AVERAGE($E$7:E2735))</f>
        <v/>
      </c>
      <c r="R2735" t="str">
        <f>IF(L2735="","",6*AVERAGE($Q$7:Q2735))</f>
        <v/>
      </c>
    </row>
    <row r="2736" spans="6:18" x14ac:dyDescent="0.3">
      <c r="F2736" t="str">
        <f>IF(A2736="","",4*AVERAGE($E$7:E2736))</f>
        <v/>
      </c>
      <c r="R2736" t="str">
        <f>IF(L2736="","",6*AVERAGE($Q$7:Q2736))</f>
        <v/>
      </c>
    </row>
    <row r="2737" spans="6:18" x14ac:dyDescent="0.3">
      <c r="F2737" t="str">
        <f>IF(A2737="","",4*AVERAGE($E$7:E2737))</f>
        <v/>
      </c>
      <c r="R2737" t="str">
        <f>IF(L2737="","",6*AVERAGE($Q$7:Q2737))</f>
        <v/>
      </c>
    </row>
    <row r="2738" spans="6:18" x14ac:dyDescent="0.3">
      <c r="F2738" t="str">
        <f>IF(A2738="","",4*AVERAGE($E$7:E2738))</f>
        <v/>
      </c>
      <c r="R2738" t="str">
        <f>IF(L2738="","",6*AVERAGE($Q$7:Q2738))</f>
        <v/>
      </c>
    </row>
    <row r="2739" spans="6:18" x14ac:dyDescent="0.3">
      <c r="F2739" t="str">
        <f>IF(A2739="","",4*AVERAGE($E$7:E2739))</f>
        <v/>
      </c>
      <c r="R2739" t="str">
        <f>IF(L2739="","",6*AVERAGE($Q$7:Q2739))</f>
        <v/>
      </c>
    </row>
    <row r="2740" spans="6:18" x14ac:dyDescent="0.3">
      <c r="F2740" t="str">
        <f>IF(A2740="","",4*AVERAGE($E$7:E2740))</f>
        <v/>
      </c>
      <c r="R2740" t="str">
        <f>IF(L2740="","",6*AVERAGE($Q$7:Q2740))</f>
        <v/>
      </c>
    </row>
    <row r="2741" spans="6:18" x14ac:dyDescent="0.3">
      <c r="F2741" t="str">
        <f>IF(A2741="","",4*AVERAGE($E$7:E2741))</f>
        <v/>
      </c>
      <c r="R2741" t="str">
        <f>IF(L2741="","",6*AVERAGE($Q$7:Q2741))</f>
        <v/>
      </c>
    </row>
    <row r="2742" spans="6:18" x14ac:dyDescent="0.3">
      <c r="F2742" t="str">
        <f>IF(A2742="","",4*AVERAGE($E$7:E2742))</f>
        <v/>
      </c>
      <c r="R2742" t="str">
        <f>IF(L2742="","",6*AVERAGE($Q$7:Q2742))</f>
        <v/>
      </c>
    </row>
    <row r="2743" spans="6:18" x14ac:dyDescent="0.3">
      <c r="F2743" t="str">
        <f>IF(A2743="","",4*AVERAGE($E$7:E2743))</f>
        <v/>
      </c>
      <c r="R2743" t="str">
        <f>IF(L2743="","",6*AVERAGE($Q$7:Q2743))</f>
        <v/>
      </c>
    </row>
    <row r="2744" spans="6:18" x14ac:dyDescent="0.3">
      <c r="F2744" t="str">
        <f>IF(A2744="","",4*AVERAGE($E$7:E2744))</f>
        <v/>
      </c>
      <c r="R2744" t="str">
        <f>IF(L2744="","",6*AVERAGE($Q$7:Q2744))</f>
        <v/>
      </c>
    </row>
    <row r="2745" spans="6:18" x14ac:dyDescent="0.3">
      <c r="F2745" t="str">
        <f>IF(A2745="","",4*AVERAGE($E$7:E2745))</f>
        <v/>
      </c>
      <c r="R2745" t="str">
        <f>IF(L2745="","",6*AVERAGE($Q$7:Q2745))</f>
        <v/>
      </c>
    </row>
    <row r="2746" spans="6:18" x14ac:dyDescent="0.3">
      <c r="F2746" t="str">
        <f>IF(A2746="","",4*AVERAGE($E$7:E2746))</f>
        <v/>
      </c>
      <c r="R2746" t="str">
        <f>IF(L2746="","",6*AVERAGE($Q$7:Q2746))</f>
        <v/>
      </c>
    </row>
    <row r="2747" spans="6:18" x14ac:dyDescent="0.3">
      <c r="F2747" t="str">
        <f>IF(A2747="","",4*AVERAGE($E$7:E2747))</f>
        <v/>
      </c>
      <c r="R2747" t="str">
        <f>IF(L2747="","",6*AVERAGE($Q$7:Q2747))</f>
        <v/>
      </c>
    </row>
    <row r="2748" spans="6:18" x14ac:dyDescent="0.3">
      <c r="F2748" t="str">
        <f>IF(A2748="","",4*AVERAGE($E$7:E2748))</f>
        <v/>
      </c>
      <c r="R2748" t="str">
        <f>IF(L2748="","",6*AVERAGE($Q$7:Q2748))</f>
        <v/>
      </c>
    </row>
    <row r="2749" spans="6:18" x14ac:dyDescent="0.3">
      <c r="F2749" t="str">
        <f>IF(A2749="","",4*AVERAGE($E$7:E2749))</f>
        <v/>
      </c>
      <c r="R2749" t="str">
        <f>IF(L2749="","",6*AVERAGE($Q$7:Q2749))</f>
        <v/>
      </c>
    </row>
    <row r="2750" spans="6:18" x14ac:dyDescent="0.3">
      <c r="F2750" t="str">
        <f>IF(A2750="","",4*AVERAGE($E$7:E2750))</f>
        <v/>
      </c>
      <c r="R2750" t="str">
        <f>IF(L2750="","",6*AVERAGE($Q$7:Q2750))</f>
        <v/>
      </c>
    </row>
    <row r="2751" spans="6:18" x14ac:dyDescent="0.3">
      <c r="F2751" t="str">
        <f>IF(A2751="","",4*AVERAGE($E$7:E2751))</f>
        <v/>
      </c>
      <c r="R2751" t="str">
        <f>IF(L2751="","",6*AVERAGE($Q$7:Q2751))</f>
        <v/>
      </c>
    </row>
    <row r="2752" spans="6:18" x14ac:dyDescent="0.3">
      <c r="F2752" t="str">
        <f>IF(A2752="","",4*AVERAGE($E$7:E2752))</f>
        <v/>
      </c>
      <c r="R2752" t="str">
        <f>IF(L2752="","",6*AVERAGE($Q$7:Q2752))</f>
        <v/>
      </c>
    </row>
    <row r="2753" spans="6:18" x14ac:dyDescent="0.3">
      <c r="F2753" t="str">
        <f>IF(A2753="","",4*AVERAGE($E$7:E2753))</f>
        <v/>
      </c>
      <c r="R2753" t="str">
        <f>IF(L2753="","",6*AVERAGE($Q$7:Q2753))</f>
        <v/>
      </c>
    </row>
    <row r="2754" spans="6:18" x14ac:dyDescent="0.3">
      <c r="F2754" t="str">
        <f>IF(A2754="","",4*AVERAGE($E$7:E2754))</f>
        <v/>
      </c>
      <c r="R2754" t="str">
        <f>IF(L2754="","",6*AVERAGE($Q$7:Q2754))</f>
        <v/>
      </c>
    </row>
    <row r="2755" spans="6:18" x14ac:dyDescent="0.3">
      <c r="F2755" t="str">
        <f>IF(A2755="","",4*AVERAGE($E$7:E2755))</f>
        <v/>
      </c>
      <c r="R2755" t="str">
        <f>IF(L2755="","",6*AVERAGE($Q$7:Q2755))</f>
        <v/>
      </c>
    </row>
    <row r="2756" spans="6:18" x14ac:dyDescent="0.3">
      <c r="F2756" t="str">
        <f>IF(A2756="","",4*AVERAGE($E$7:E2756))</f>
        <v/>
      </c>
      <c r="R2756" t="str">
        <f>IF(L2756="","",6*AVERAGE($Q$7:Q2756))</f>
        <v/>
      </c>
    </row>
    <row r="2757" spans="6:18" x14ac:dyDescent="0.3">
      <c r="F2757" t="str">
        <f>IF(A2757="","",4*AVERAGE($E$7:E2757))</f>
        <v/>
      </c>
      <c r="R2757" t="str">
        <f>IF(L2757="","",6*AVERAGE($Q$7:Q2757))</f>
        <v/>
      </c>
    </row>
    <row r="2758" spans="6:18" x14ac:dyDescent="0.3">
      <c r="F2758" t="str">
        <f>IF(A2758="","",4*AVERAGE($E$7:E2758))</f>
        <v/>
      </c>
      <c r="R2758" t="str">
        <f>IF(L2758="","",6*AVERAGE($Q$7:Q2758))</f>
        <v/>
      </c>
    </row>
    <row r="2759" spans="6:18" x14ac:dyDescent="0.3">
      <c r="F2759" t="str">
        <f>IF(A2759="","",4*AVERAGE($E$7:E2759))</f>
        <v/>
      </c>
      <c r="R2759" t="str">
        <f>IF(L2759="","",6*AVERAGE($Q$7:Q2759))</f>
        <v/>
      </c>
    </row>
    <row r="2760" spans="6:18" x14ac:dyDescent="0.3">
      <c r="F2760" t="str">
        <f>IF(A2760="","",4*AVERAGE($E$7:E2760))</f>
        <v/>
      </c>
      <c r="R2760" t="str">
        <f>IF(L2760="","",6*AVERAGE($Q$7:Q2760))</f>
        <v/>
      </c>
    </row>
    <row r="2761" spans="6:18" x14ac:dyDescent="0.3">
      <c r="F2761" t="str">
        <f>IF(A2761="","",4*AVERAGE($E$7:E2761))</f>
        <v/>
      </c>
      <c r="R2761" t="str">
        <f>IF(L2761="","",6*AVERAGE($Q$7:Q2761))</f>
        <v/>
      </c>
    </row>
    <row r="2762" spans="6:18" x14ac:dyDescent="0.3">
      <c r="F2762" t="str">
        <f>IF(A2762="","",4*AVERAGE($E$7:E2762))</f>
        <v/>
      </c>
      <c r="R2762" t="str">
        <f>IF(L2762="","",6*AVERAGE($Q$7:Q2762))</f>
        <v/>
      </c>
    </row>
    <row r="2763" spans="6:18" x14ac:dyDescent="0.3">
      <c r="F2763" t="str">
        <f>IF(A2763="","",4*AVERAGE($E$7:E2763))</f>
        <v/>
      </c>
      <c r="R2763" t="str">
        <f>IF(L2763="","",6*AVERAGE($Q$7:Q2763))</f>
        <v/>
      </c>
    </row>
    <row r="2764" spans="6:18" x14ac:dyDescent="0.3">
      <c r="F2764" t="str">
        <f>IF(A2764="","",4*AVERAGE($E$7:E2764))</f>
        <v/>
      </c>
      <c r="R2764" t="str">
        <f>IF(L2764="","",6*AVERAGE($Q$7:Q2764))</f>
        <v/>
      </c>
    </row>
    <row r="2765" spans="6:18" x14ac:dyDescent="0.3">
      <c r="F2765" t="str">
        <f>IF(A2765="","",4*AVERAGE($E$7:E2765))</f>
        <v/>
      </c>
      <c r="R2765" t="str">
        <f>IF(L2765="","",6*AVERAGE($Q$7:Q2765))</f>
        <v/>
      </c>
    </row>
    <row r="2766" spans="6:18" x14ac:dyDescent="0.3">
      <c r="F2766" t="str">
        <f>IF(A2766="","",4*AVERAGE($E$7:E2766))</f>
        <v/>
      </c>
      <c r="R2766" t="str">
        <f>IF(L2766="","",6*AVERAGE($Q$7:Q2766))</f>
        <v/>
      </c>
    </row>
    <row r="2767" spans="6:18" x14ac:dyDescent="0.3">
      <c r="F2767" t="str">
        <f>IF(A2767="","",4*AVERAGE($E$7:E2767))</f>
        <v/>
      </c>
      <c r="R2767" t="str">
        <f>IF(L2767="","",6*AVERAGE($Q$7:Q2767))</f>
        <v/>
      </c>
    </row>
    <row r="2768" spans="6:18" x14ac:dyDescent="0.3">
      <c r="F2768" t="str">
        <f>IF(A2768="","",4*AVERAGE($E$7:E2768))</f>
        <v/>
      </c>
      <c r="R2768" t="str">
        <f>IF(L2768="","",6*AVERAGE($Q$7:Q2768))</f>
        <v/>
      </c>
    </row>
    <row r="2769" spans="6:18" x14ac:dyDescent="0.3">
      <c r="F2769" t="str">
        <f>IF(A2769="","",4*AVERAGE($E$7:E2769))</f>
        <v/>
      </c>
      <c r="R2769" t="str">
        <f>IF(L2769="","",6*AVERAGE($Q$7:Q2769))</f>
        <v/>
      </c>
    </row>
    <row r="2770" spans="6:18" x14ac:dyDescent="0.3">
      <c r="F2770" t="str">
        <f>IF(A2770="","",4*AVERAGE($E$7:E2770))</f>
        <v/>
      </c>
      <c r="R2770" t="str">
        <f>IF(L2770="","",6*AVERAGE($Q$7:Q2770))</f>
        <v/>
      </c>
    </row>
    <row r="2771" spans="6:18" x14ac:dyDescent="0.3">
      <c r="F2771" t="str">
        <f>IF(A2771="","",4*AVERAGE($E$7:E2771))</f>
        <v/>
      </c>
      <c r="R2771" t="str">
        <f>IF(L2771="","",6*AVERAGE($Q$7:Q2771))</f>
        <v/>
      </c>
    </row>
    <row r="2772" spans="6:18" x14ac:dyDescent="0.3">
      <c r="F2772" t="str">
        <f>IF(A2772="","",4*AVERAGE($E$7:E2772))</f>
        <v/>
      </c>
      <c r="R2772" t="str">
        <f>IF(L2772="","",6*AVERAGE($Q$7:Q2772))</f>
        <v/>
      </c>
    </row>
    <row r="2773" spans="6:18" x14ac:dyDescent="0.3">
      <c r="F2773" t="str">
        <f>IF(A2773="","",4*AVERAGE($E$7:E2773))</f>
        <v/>
      </c>
      <c r="R2773" t="str">
        <f>IF(L2773="","",6*AVERAGE($Q$7:Q2773))</f>
        <v/>
      </c>
    </row>
    <row r="2774" spans="6:18" x14ac:dyDescent="0.3">
      <c r="F2774" t="str">
        <f>IF(A2774="","",4*AVERAGE($E$7:E2774))</f>
        <v/>
      </c>
      <c r="R2774" t="str">
        <f>IF(L2774="","",6*AVERAGE($Q$7:Q2774))</f>
        <v/>
      </c>
    </row>
    <row r="2775" spans="6:18" x14ac:dyDescent="0.3">
      <c r="F2775" t="str">
        <f>IF(A2775="","",4*AVERAGE($E$7:E2775))</f>
        <v/>
      </c>
      <c r="R2775" t="str">
        <f>IF(L2775="","",6*AVERAGE($Q$7:Q2775))</f>
        <v/>
      </c>
    </row>
    <row r="2776" spans="6:18" x14ac:dyDescent="0.3">
      <c r="F2776" t="str">
        <f>IF(A2776="","",4*AVERAGE($E$7:E2776))</f>
        <v/>
      </c>
      <c r="R2776" t="str">
        <f>IF(L2776="","",6*AVERAGE($Q$7:Q2776))</f>
        <v/>
      </c>
    </row>
    <row r="2777" spans="6:18" x14ac:dyDescent="0.3">
      <c r="F2777" t="str">
        <f>IF(A2777="","",4*AVERAGE($E$7:E2777))</f>
        <v/>
      </c>
      <c r="R2777" t="str">
        <f>IF(L2777="","",6*AVERAGE($Q$7:Q2777))</f>
        <v/>
      </c>
    </row>
    <row r="2778" spans="6:18" x14ac:dyDescent="0.3">
      <c r="F2778" t="str">
        <f>IF(A2778="","",4*AVERAGE($E$7:E2778))</f>
        <v/>
      </c>
      <c r="R2778" t="str">
        <f>IF(L2778="","",6*AVERAGE($Q$7:Q2778))</f>
        <v/>
      </c>
    </row>
    <row r="2779" spans="6:18" x14ac:dyDescent="0.3">
      <c r="F2779" t="str">
        <f>IF(A2779="","",4*AVERAGE($E$7:E2779))</f>
        <v/>
      </c>
      <c r="R2779" t="str">
        <f>IF(L2779="","",6*AVERAGE($Q$7:Q2779))</f>
        <v/>
      </c>
    </row>
    <row r="2780" spans="6:18" x14ac:dyDescent="0.3">
      <c r="F2780" t="str">
        <f>IF(A2780="","",4*AVERAGE($E$7:E2780))</f>
        <v/>
      </c>
      <c r="R2780" t="str">
        <f>IF(L2780="","",6*AVERAGE($Q$7:Q2780))</f>
        <v/>
      </c>
    </row>
    <row r="2781" spans="6:18" x14ac:dyDescent="0.3">
      <c r="F2781" t="str">
        <f>IF(A2781="","",4*AVERAGE($E$7:E2781))</f>
        <v/>
      </c>
      <c r="R2781" t="str">
        <f>IF(L2781="","",6*AVERAGE($Q$7:Q2781))</f>
        <v/>
      </c>
    </row>
    <row r="2782" spans="6:18" x14ac:dyDescent="0.3">
      <c r="F2782" t="str">
        <f>IF(A2782="","",4*AVERAGE($E$7:E2782))</f>
        <v/>
      </c>
      <c r="R2782" t="str">
        <f>IF(L2782="","",6*AVERAGE($Q$7:Q2782))</f>
        <v/>
      </c>
    </row>
    <row r="2783" spans="6:18" x14ac:dyDescent="0.3">
      <c r="F2783" t="str">
        <f>IF(A2783="","",4*AVERAGE($E$7:E2783))</f>
        <v/>
      </c>
      <c r="R2783" t="str">
        <f>IF(L2783="","",6*AVERAGE($Q$7:Q2783))</f>
        <v/>
      </c>
    </row>
    <row r="2784" spans="6:18" x14ac:dyDescent="0.3">
      <c r="F2784" t="str">
        <f>IF(A2784="","",4*AVERAGE($E$7:E2784))</f>
        <v/>
      </c>
      <c r="R2784" t="str">
        <f>IF(L2784="","",6*AVERAGE($Q$7:Q2784))</f>
        <v/>
      </c>
    </row>
    <row r="2785" spans="6:18" x14ac:dyDescent="0.3">
      <c r="F2785" t="str">
        <f>IF(A2785="","",4*AVERAGE($E$7:E2785))</f>
        <v/>
      </c>
      <c r="R2785" t="str">
        <f>IF(L2785="","",6*AVERAGE($Q$7:Q2785))</f>
        <v/>
      </c>
    </row>
    <row r="2786" spans="6:18" x14ac:dyDescent="0.3">
      <c r="F2786" t="str">
        <f>IF(A2786="","",4*AVERAGE($E$7:E2786))</f>
        <v/>
      </c>
      <c r="R2786" t="str">
        <f>IF(L2786="","",6*AVERAGE($Q$7:Q2786))</f>
        <v/>
      </c>
    </row>
    <row r="2787" spans="6:18" x14ac:dyDescent="0.3">
      <c r="F2787" t="str">
        <f>IF(A2787="","",4*AVERAGE($E$7:E2787))</f>
        <v/>
      </c>
      <c r="R2787" t="str">
        <f>IF(L2787="","",6*AVERAGE($Q$7:Q2787))</f>
        <v/>
      </c>
    </row>
    <row r="2788" spans="6:18" x14ac:dyDescent="0.3">
      <c r="F2788" t="str">
        <f>IF(A2788="","",4*AVERAGE($E$7:E2788))</f>
        <v/>
      </c>
      <c r="R2788" t="str">
        <f>IF(L2788="","",6*AVERAGE($Q$7:Q2788))</f>
        <v/>
      </c>
    </row>
    <row r="2789" spans="6:18" x14ac:dyDescent="0.3">
      <c r="F2789" t="str">
        <f>IF(A2789="","",4*AVERAGE($E$7:E2789))</f>
        <v/>
      </c>
      <c r="R2789" t="str">
        <f>IF(L2789="","",6*AVERAGE($Q$7:Q2789))</f>
        <v/>
      </c>
    </row>
    <row r="2790" spans="6:18" x14ac:dyDescent="0.3">
      <c r="F2790" t="str">
        <f>IF(A2790="","",4*AVERAGE($E$7:E2790))</f>
        <v/>
      </c>
      <c r="R2790" t="str">
        <f>IF(L2790="","",6*AVERAGE($Q$7:Q2790))</f>
        <v/>
      </c>
    </row>
    <row r="2791" spans="6:18" x14ac:dyDescent="0.3">
      <c r="F2791" t="str">
        <f>IF(A2791="","",4*AVERAGE($E$7:E2791))</f>
        <v/>
      </c>
      <c r="R2791" t="str">
        <f>IF(L2791="","",6*AVERAGE($Q$7:Q2791))</f>
        <v/>
      </c>
    </row>
    <row r="2792" spans="6:18" x14ac:dyDescent="0.3">
      <c r="F2792" t="str">
        <f>IF(A2792="","",4*AVERAGE($E$7:E2792))</f>
        <v/>
      </c>
      <c r="R2792" t="str">
        <f>IF(L2792="","",6*AVERAGE($Q$7:Q2792))</f>
        <v/>
      </c>
    </row>
    <row r="2793" spans="6:18" x14ac:dyDescent="0.3">
      <c r="F2793" t="str">
        <f>IF(A2793="","",4*AVERAGE($E$7:E2793))</f>
        <v/>
      </c>
      <c r="R2793" t="str">
        <f>IF(L2793="","",6*AVERAGE($Q$7:Q2793))</f>
        <v/>
      </c>
    </row>
    <row r="2794" spans="6:18" x14ac:dyDescent="0.3">
      <c r="F2794" t="str">
        <f>IF(A2794="","",4*AVERAGE($E$7:E2794))</f>
        <v/>
      </c>
      <c r="R2794" t="str">
        <f>IF(L2794="","",6*AVERAGE($Q$7:Q2794))</f>
        <v/>
      </c>
    </row>
    <row r="2795" spans="6:18" x14ac:dyDescent="0.3">
      <c r="F2795" t="str">
        <f>IF(A2795="","",4*AVERAGE($E$7:E2795))</f>
        <v/>
      </c>
      <c r="R2795" t="str">
        <f>IF(L2795="","",6*AVERAGE($Q$7:Q2795))</f>
        <v/>
      </c>
    </row>
    <row r="2796" spans="6:18" x14ac:dyDescent="0.3">
      <c r="F2796" t="str">
        <f>IF(A2796="","",4*AVERAGE($E$7:E2796))</f>
        <v/>
      </c>
      <c r="R2796" t="str">
        <f>IF(L2796="","",6*AVERAGE($Q$7:Q2796))</f>
        <v/>
      </c>
    </row>
    <row r="2797" spans="6:18" x14ac:dyDescent="0.3">
      <c r="F2797" t="str">
        <f>IF(A2797="","",4*AVERAGE($E$7:E2797))</f>
        <v/>
      </c>
      <c r="R2797" t="str">
        <f>IF(L2797="","",6*AVERAGE($Q$7:Q2797))</f>
        <v/>
      </c>
    </row>
    <row r="2798" spans="6:18" x14ac:dyDescent="0.3">
      <c r="F2798" t="str">
        <f>IF(A2798="","",4*AVERAGE($E$7:E2798))</f>
        <v/>
      </c>
      <c r="R2798" t="str">
        <f>IF(L2798="","",6*AVERAGE($Q$7:Q2798))</f>
        <v/>
      </c>
    </row>
    <row r="2799" spans="6:18" x14ac:dyDescent="0.3">
      <c r="F2799" t="str">
        <f>IF(A2799="","",4*AVERAGE($E$7:E2799))</f>
        <v/>
      </c>
      <c r="R2799" t="str">
        <f>IF(L2799="","",6*AVERAGE($Q$7:Q2799))</f>
        <v/>
      </c>
    </row>
    <row r="2800" spans="6:18" x14ac:dyDescent="0.3">
      <c r="F2800" t="str">
        <f>IF(A2800="","",4*AVERAGE($E$7:E2800))</f>
        <v/>
      </c>
      <c r="R2800" t="str">
        <f>IF(L2800="","",6*AVERAGE($Q$7:Q2800))</f>
        <v/>
      </c>
    </row>
    <row r="2801" spans="6:18" x14ac:dyDescent="0.3">
      <c r="F2801" t="str">
        <f>IF(A2801="","",4*AVERAGE($E$7:E2801))</f>
        <v/>
      </c>
      <c r="R2801" t="str">
        <f>IF(L2801="","",6*AVERAGE($Q$7:Q2801))</f>
        <v/>
      </c>
    </row>
    <row r="2802" spans="6:18" x14ac:dyDescent="0.3">
      <c r="F2802" t="str">
        <f>IF(A2802="","",4*AVERAGE($E$7:E2802))</f>
        <v/>
      </c>
      <c r="R2802" t="str">
        <f>IF(L2802="","",6*AVERAGE($Q$7:Q2802))</f>
        <v/>
      </c>
    </row>
    <row r="2803" spans="6:18" x14ac:dyDescent="0.3">
      <c r="F2803" t="str">
        <f>IF(A2803="","",4*AVERAGE($E$7:E2803))</f>
        <v/>
      </c>
      <c r="R2803" t="str">
        <f>IF(L2803="","",6*AVERAGE($Q$7:Q2803))</f>
        <v/>
      </c>
    </row>
    <row r="2804" spans="6:18" x14ac:dyDescent="0.3">
      <c r="F2804" t="str">
        <f>IF(A2804="","",4*AVERAGE($E$7:E2804))</f>
        <v/>
      </c>
      <c r="R2804" t="str">
        <f>IF(L2804="","",6*AVERAGE($Q$7:Q2804))</f>
        <v/>
      </c>
    </row>
    <row r="2805" spans="6:18" x14ac:dyDescent="0.3">
      <c r="F2805" t="str">
        <f>IF(A2805="","",4*AVERAGE($E$7:E2805))</f>
        <v/>
      </c>
      <c r="R2805" t="str">
        <f>IF(L2805="","",6*AVERAGE($Q$7:Q2805))</f>
        <v/>
      </c>
    </row>
    <row r="2806" spans="6:18" x14ac:dyDescent="0.3">
      <c r="F2806" t="str">
        <f>IF(A2806="","",4*AVERAGE($E$7:E2806))</f>
        <v/>
      </c>
      <c r="R2806" t="str">
        <f>IF(L2806="","",6*AVERAGE($Q$7:Q2806))</f>
        <v/>
      </c>
    </row>
    <row r="2807" spans="6:18" x14ac:dyDescent="0.3">
      <c r="F2807" t="str">
        <f>IF(A2807="","",4*AVERAGE($E$7:E2807))</f>
        <v/>
      </c>
      <c r="R2807" t="str">
        <f>IF(L2807="","",6*AVERAGE($Q$7:Q2807))</f>
        <v/>
      </c>
    </row>
    <row r="2808" spans="6:18" x14ac:dyDescent="0.3">
      <c r="F2808" t="str">
        <f>IF(A2808="","",4*AVERAGE($E$7:E2808))</f>
        <v/>
      </c>
      <c r="R2808" t="str">
        <f>IF(L2808="","",6*AVERAGE($Q$7:Q2808))</f>
        <v/>
      </c>
    </row>
    <row r="2809" spans="6:18" x14ac:dyDescent="0.3">
      <c r="F2809" t="str">
        <f>IF(A2809="","",4*AVERAGE($E$7:E2809))</f>
        <v/>
      </c>
      <c r="R2809" t="str">
        <f>IF(L2809="","",6*AVERAGE($Q$7:Q2809))</f>
        <v/>
      </c>
    </row>
    <row r="2810" spans="6:18" x14ac:dyDescent="0.3">
      <c r="F2810" t="str">
        <f>IF(A2810="","",4*AVERAGE($E$7:E2810))</f>
        <v/>
      </c>
      <c r="R2810" t="str">
        <f>IF(L2810="","",6*AVERAGE($Q$7:Q2810))</f>
        <v/>
      </c>
    </row>
    <row r="2811" spans="6:18" x14ac:dyDescent="0.3">
      <c r="F2811" t="str">
        <f>IF(A2811="","",4*AVERAGE($E$7:E2811))</f>
        <v/>
      </c>
      <c r="R2811" t="str">
        <f>IF(L2811="","",6*AVERAGE($Q$7:Q2811))</f>
        <v/>
      </c>
    </row>
    <row r="2812" spans="6:18" x14ac:dyDescent="0.3">
      <c r="F2812" t="str">
        <f>IF(A2812="","",4*AVERAGE($E$7:E2812))</f>
        <v/>
      </c>
      <c r="R2812" t="str">
        <f>IF(L2812="","",6*AVERAGE($Q$7:Q2812))</f>
        <v/>
      </c>
    </row>
    <row r="2813" spans="6:18" x14ac:dyDescent="0.3">
      <c r="F2813" t="str">
        <f>IF(A2813="","",4*AVERAGE($E$7:E2813))</f>
        <v/>
      </c>
      <c r="R2813" t="str">
        <f>IF(L2813="","",6*AVERAGE($Q$7:Q2813))</f>
        <v/>
      </c>
    </row>
    <row r="2814" spans="6:18" x14ac:dyDescent="0.3">
      <c r="F2814" t="str">
        <f>IF(A2814="","",4*AVERAGE($E$7:E2814))</f>
        <v/>
      </c>
      <c r="R2814" t="str">
        <f>IF(L2814="","",6*AVERAGE($Q$7:Q2814))</f>
        <v/>
      </c>
    </row>
    <row r="2815" spans="6:18" x14ac:dyDescent="0.3">
      <c r="F2815" t="str">
        <f>IF(A2815="","",4*AVERAGE($E$7:E2815))</f>
        <v/>
      </c>
      <c r="R2815" t="str">
        <f>IF(L2815="","",6*AVERAGE($Q$7:Q2815))</f>
        <v/>
      </c>
    </row>
    <row r="2816" spans="6:18" x14ac:dyDescent="0.3">
      <c r="F2816" t="str">
        <f>IF(A2816="","",4*AVERAGE($E$7:E2816))</f>
        <v/>
      </c>
      <c r="R2816" t="str">
        <f>IF(L2816="","",6*AVERAGE($Q$7:Q2816))</f>
        <v/>
      </c>
    </row>
    <row r="2817" spans="6:18" x14ac:dyDescent="0.3">
      <c r="F2817" t="str">
        <f>IF(A2817="","",4*AVERAGE($E$7:E2817))</f>
        <v/>
      </c>
      <c r="R2817" t="str">
        <f>IF(L2817="","",6*AVERAGE($Q$7:Q2817))</f>
        <v/>
      </c>
    </row>
    <row r="2818" spans="6:18" x14ac:dyDescent="0.3">
      <c r="F2818" t="str">
        <f>IF(A2818="","",4*AVERAGE($E$7:E2818))</f>
        <v/>
      </c>
      <c r="R2818" t="str">
        <f>IF(L2818="","",6*AVERAGE($Q$7:Q2818))</f>
        <v/>
      </c>
    </row>
    <row r="2819" spans="6:18" x14ac:dyDescent="0.3">
      <c r="F2819" t="str">
        <f>IF(A2819="","",4*AVERAGE($E$7:E2819))</f>
        <v/>
      </c>
      <c r="R2819" t="str">
        <f>IF(L2819="","",6*AVERAGE($Q$7:Q2819))</f>
        <v/>
      </c>
    </row>
    <row r="2820" spans="6:18" x14ac:dyDescent="0.3">
      <c r="F2820" t="str">
        <f>IF(A2820="","",4*AVERAGE($E$7:E2820))</f>
        <v/>
      </c>
      <c r="R2820" t="str">
        <f>IF(L2820="","",6*AVERAGE($Q$7:Q2820))</f>
        <v/>
      </c>
    </row>
    <row r="2821" spans="6:18" x14ac:dyDescent="0.3">
      <c r="F2821" t="str">
        <f>IF(A2821="","",4*AVERAGE($E$7:E2821))</f>
        <v/>
      </c>
      <c r="R2821" t="str">
        <f>IF(L2821="","",6*AVERAGE($Q$7:Q2821))</f>
        <v/>
      </c>
    </row>
    <row r="2822" spans="6:18" x14ac:dyDescent="0.3">
      <c r="F2822" t="str">
        <f>IF(A2822="","",4*AVERAGE($E$7:E2822))</f>
        <v/>
      </c>
      <c r="R2822" t="str">
        <f>IF(L2822="","",6*AVERAGE($Q$7:Q2822))</f>
        <v/>
      </c>
    </row>
    <row r="2823" spans="6:18" x14ac:dyDescent="0.3">
      <c r="F2823" t="str">
        <f>IF(A2823="","",4*AVERAGE($E$7:E2823))</f>
        <v/>
      </c>
      <c r="R2823" t="str">
        <f>IF(L2823="","",6*AVERAGE($Q$7:Q2823))</f>
        <v/>
      </c>
    </row>
    <row r="2824" spans="6:18" x14ac:dyDescent="0.3">
      <c r="F2824" t="str">
        <f>IF(A2824="","",4*AVERAGE($E$7:E2824))</f>
        <v/>
      </c>
      <c r="R2824" t="str">
        <f>IF(L2824="","",6*AVERAGE($Q$7:Q2824))</f>
        <v/>
      </c>
    </row>
    <row r="2825" spans="6:18" x14ac:dyDescent="0.3">
      <c r="F2825" t="str">
        <f>IF(A2825="","",4*AVERAGE($E$7:E2825))</f>
        <v/>
      </c>
      <c r="R2825" t="str">
        <f>IF(L2825="","",6*AVERAGE($Q$7:Q2825))</f>
        <v/>
      </c>
    </row>
    <row r="2826" spans="6:18" x14ac:dyDescent="0.3">
      <c r="F2826" t="str">
        <f>IF(A2826="","",4*AVERAGE($E$7:E2826))</f>
        <v/>
      </c>
      <c r="R2826" t="str">
        <f>IF(L2826="","",6*AVERAGE($Q$7:Q2826))</f>
        <v/>
      </c>
    </row>
    <row r="2827" spans="6:18" x14ac:dyDescent="0.3">
      <c r="F2827" t="str">
        <f>IF(A2827="","",4*AVERAGE($E$7:E2827))</f>
        <v/>
      </c>
      <c r="R2827" t="str">
        <f>IF(L2827="","",6*AVERAGE($Q$7:Q2827))</f>
        <v/>
      </c>
    </row>
    <row r="2828" spans="6:18" x14ac:dyDescent="0.3">
      <c r="F2828" t="str">
        <f>IF(A2828="","",4*AVERAGE($E$7:E2828))</f>
        <v/>
      </c>
      <c r="R2828" t="str">
        <f>IF(L2828="","",6*AVERAGE($Q$7:Q2828))</f>
        <v/>
      </c>
    </row>
    <row r="2829" spans="6:18" x14ac:dyDescent="0.3">
      <c r="F2829" t="str">
        <f>IF(A2829="","",4*AVERAGE($E$7:E2829))</f>
        <v/>
      </c>
      <c r="R2829" t="str">
        <f>IF(L2829="","",6*AVERAGE($Q$7:Q2829))</f>
        <v/>
      </c>
    </row>
    <row r="2830" spans="6:18" x14ac:dyDescent="0.3">
      <c r="F2830" t="str">
        <f>IF(A2830="","",4*AVERAGE($E$7:E2830))</f>
        <v/>
      </c>
      <c r="R2830" t="str">
        <f>IF(L2830="","",6*AVERAGE($Q$7:Q2830))</f>
        <v/>
      </c>
    </row>
    <row r="2831" spans="6:18" x14ac:dyDescent="0.3">
      <c r="F2831" t="str">
        <f>IF(A2831="","",4*AVERAGE($E$7:E2831))</f>
        <v/>
      </c>
      <c r="R2831" t="str">
        <f>IF(L2831="","",6*AVERAGE($Q$7:Q2831))</f>
        <v/>
      </c>
    </row>
    <row r="2832" spans="6:18" x14ac:dyDescent="0.3">
      <c r="F2832" t="str">
        <f>IF(A2832="","",4*AVERAGE($E$7:E2832))</f>
        <v/>
      </c>
      <c r="R2832" t="str">
        <f>IF(L2832="","",6*AVERAGE($Q$7:Q2832))</f>
        <v/>
      </c>
    </row>
    <row r="2833" spans="6:18" x14ac:dyDescent="0.3">
      <c r="F2833" t="str">
        <f>IF(A2833="","",4*AVERAGE($E$7:E2833))</f>
        <v/>
      </c>
      <c r="R2833" t="str">
        <f>IF(L2833="","",6*AVERAGE($Q$7:Q2833))</f>
        <v/>
      </c>
    </row>
    <row r="2834" spans="6:18" x14ac:dyDescent="0.3">
      <c r="F2834" t="str">
        <f>IF(A2834="","",4*AVERAGE($E$7:E2834))</f>
        <v/>
      </c>
      <c r="R2834" t="str">
        <f>IF(L2834="","",6*AVERAGE($Q$7:Q2834))</f>
        <v/>
      </c>
    </row>
    <row r="2835" spans="6:18" x14ac:dyDescent="0.3">
      <c r="F2835" t="str">
        <f>IF(A2835="","",4*AVERAGE($E$7:E2835))</f>
        <v/>
      </c>
      <c r="R2835" t="str">
        <f>IF(L2835="","",6*AVERAGE($Q$7:Q2835))</f>
        <v/>
      </c>
    </row>
    <row r="2836" spans="6:18" x14ac:dyDescent="0.3">
      <c r="F2836" t="str">
        <f>IF(A2836="","",4*AVERAGE($E$7:E2836))</f>
        <v/>
      </c>
      <c r="R2836" t="str">
        <f>IF(L2836="","",6*AVERAGE($Q$7:Q2836))</f>
        <v/>
      </c>
    </row>
    <row r="2837" spans="6:18" x14ac:dyDescent="0.3">
      <c r="F2837" t="str">
        <f>IF(A2837="","",4*AVERAGE($E$7:E2837))</f>
        <v/>
      </c>
      <c r="R2837" t="str">
        <f>IF(L2837="","",6*AVERAGE($Q$7:Q2837))</f>
        <v/>
      </c>
    </row>
    <row r="2838" spans="6:18" x14ac:dyDescent="0.3">
      <c r="F2838" t="str">
        <f>IF(A2838="","",4*AVERAGE($E$7:E2838))</f>
        <v/>
      </c>
      <c r="R2838" t="str">
        <f>IF(L2838="","",6*AVERAGE($Q$7:Q2838))</f>
        <v/>
      </c>
    </row>
    <row r="2839" spans="6:18" x14ac:dyDescent="0.3">
      <c r="F2839" t="str">
        <f>IF(A2839="","",4*AVERAGE($E$7:E2839))</f>
        <v/>
      </c>
      <c r="R2839" t="str">
        <f>IF(L2839="","",6*AVERAGE($Q$7:Q2839))</f>
        <v/>
      </c>
    </row>
    <row r="2840" spans="6:18" x14ac:dyDescent="0.3">
      <c r="F2840" t="str">
        <f>IF(A2840="","",4*AVERAGE($E$7:E2840))</f>
        <v/>
      </c>
      <c r="R2840" t="str">
        <f>IF(L2840="","",6*AVERAGE($Q$7:Q2840))</f>
        <v/>
      </c>
    </row>
    <row r="2841" spans="6:18" x14ac:dyDescent="0.3">
      <c r="F2841" t="str">
        <f>IF(A2841="","",4*AVERAGE($E$7:E2841))</f>
        <v/>
      </c>
      <c r="R2841" t="str">
        <f>IF(L2841="","",6*AVERAGE($Q$7:Q2841))</f>
        <v/>
      </c>
    </row>
    <row r="2842" spans="6:18" x14ac:dyDescent="0.3">
      <c r="F2842" t="str">
        <f>IF(A2842="","",4*AVERAGE($E$7:E2842))</f>
        <v/>
      </c>
      <c r="R2842" t="str">
        <f>IF(L2842="","",6*AVERAGE($Q$7:Q2842))</f>
        <v/>
      </c>
    </row>
    <row r="2843" spans="6:18" x14ac:dyDescent="0.3">
      <c r="F2843" t="str">
        <f>IF(A2843="","",4*AVERAGE($E$7:E2843))</f>
        <v/>
      </c>
      <c r="R2843" t="str">
        <f>IF(L2843="","",6*AVERAGE($Q$7:Q2843))</f>
        <v/>
      </c>
    </row>
    <row r="2844" spans="6:18" x14ac:dyDescent="0.3">
      <c r="F2844" t="str">
        <f>IF(A2844="","",4*AVERAGE($E$7:E2844))</f>
        <v/>
      </c>
      <c r="R2844" t="str">
        <f>IF(L2844="","",6*AVERAGE($Q$7:Q2844))</f>
        <v/>
      </c>
    </row>
    <row r="2845" spans="6:18" x14ac:dyDescent="0.3">
      <c r="F2845" t="str">
        <f>IF(A2845="","",4*AVERAGE($E$7:E2845))</f>
        <v/>
      </c>
      <c r="R2845" t="str">
        <f>IF(L2845="","",6*AVERAGE($Q$7:Q2845))</f>
        <v/>
      </c>
    </row>
    <row r="2846" spans="6:18" x14ac:dyDescent="0.3">
      <c r="F2846" t="str">
        <f>IF(A2846="","",4*AVERAGE($E$7:E2846))</f>
        <v/>
      </c>
      <c r="R2846" t="str">
        <f>IF(L2846="","",6*AVERAGE($Q$7:Q2846))</f>
        <v/>
      </c>
    </row>
    <row r="2847" spans="6:18" x14ac:dyDescent="0.3">
      <c r="F2847" t="str">
        <f>IF(A2847="","",4*AVERAGE($E$7:E2847))</f>
        <v/>
      </c>
      <c r="R2847" t="str">
        <f>IF(L2847="","",6*AVERAGE($Q$7:Q2847))</f>
        <v/>
      </c>
    </row>
    <row r="2848" spans="6:18" x14ac:dyDescent="0.3">
      <c r="F2848" t="str">
        <f>IF(A2848="","",4*AVERAGE($E$7:E2848))</f>
        <v/>
      </c>
      <c r="R2848" t="str">
        <f>IF(L2848="","",6*AVERAGE($Q$7:Q2848))</f>
        <v/>
      </c>
    </row>
    <row r="2849" spans="6:18" x14ac:dyDescent="0.3">
      <c r="F2849" t="str">
        <f>IF(A2849="","",4*AVERAGE($E$7:E2849))</f>
        <v/>
      </c>
      <c r="R2849" t="str">
        <f>IF(L2849="","",6*AVERAGE($Q$7:Q2849))</f>
        <v/>
      </c>
    </row>
    <row r="2850" spans="6:18" x14ac:dyDescent="0.3">
      <c r="F2850" t="str">
        <f>IF(A2850="","",4*AVERAGE($E$7:E2850))</f>
        <v/>
      </c>
      <c r="R2850" t="str">
        <f>IF(L2850="","",6*AVERAGE($Q$7:Q2850))</f>
        <v/>
      </c>
    </row>
    <row r="2851" spans="6:18" x14ac:dyDescent="0.3">
      <c r="F2851" t="str">
        <f>IF(A2851="","",4*AVERAGE($E$7:E2851))</f>
        <v/>
      </c>
      <c r="R2851" t="str">
        <f>IF(L2851="","",6*AVERAGE($Q$7:Q2851))</f>
        <v/>
      </c>
    </row>
    <row r="2852" spans="6:18" x14ac:dyDescent="0.3">
      <c r="F2852" t="str">
        <f>IF(A2852="","",4*AVERAGE($E$7:E2852))</f>
        <v/>
      </c>
      <c r="R2852" t="str">
        <f>IF(L2852="","",6*AVERAGE($Q$7:Q2852))</f>
        <v/>
      </c>
    </row>
    <row r="2853" spans="6:18" x14ac:dyDescent="0.3">
      <c r="F2853" t="str">
        <f>IF(A2853="","",4*AVERAGE($E$7:E2853))</f>
        <v/>
      </c>
      <c r="R2853" t="str">
        <f>IF(L2853="","",6*AVERAGE($Q$7:Q2853))</f>
        <v/>
      </c>
    </row>
    <row r="2854" spans="6:18" x14ac:dyDescent="0.3">
      <c r="F2854" t="str">
        <f>IF(A2854="","",4*AVERAGE($E$7:E2854))</f>
        <v/>
      </c>
      <c r="R2854" t="str">
        <f>IF(L2854="","",6*AVERAGE($Q$7:Q2854))</f>
        <v/>
      </c>
    </row>
    <row r="2855" spans="6:18" x14ac:dyDescent="0.3">
      <c r="F2855" t="str">
        <f>IF(A2855="","",4*AVERAGE($E$7:E2855))</f>
        <v/>
      </c>
      <c r="R2855" t="str">
        <f>IF(L2855="","",6*AVERAGE($Q$7:Q2855))</f>
        <v/>
      </c>
    </row>
    <row r="2856" spans="6:18" x14ac:dyDescent="0.3">
      <c r="F2856" t="str">
        <f>IF(A2856="","",4*AVERAGE($E$7:E2856))</f>
        <v/>
      </c>
      <c r="R2856" t="str">
        <f>IF(L2856="","",6*AVERAGE($Q$7:Q2856))</f>
        <v/>
      </c>
    </row>
    <row r="2857" spans="6:18" x14ac:dyDescent="0.3">
      <c r="F2857" t="str">
        <f>IF(A2857="","",4*AVERAGE($E$7:E2857))</f>
        <v/>
      </c>
      <c r="R2857" t="str">
        <f>IF(L2857="","",6*AVERAGE($Q$7:Q2857))</f>
        <v/>
      </c>
    </row>
    <row r="2858" spans="6:18" x14ac:dyDescent="0.3">
      <c r="F2858" t="str">
        <f>IF(A2858="","",4*AVERAGE($E$7:E2858))</f>
        <v/>
      </c>
      <c r="R2858" t="str">
        <f>IF(L2858="","",6*AVERAGE($Q$7:Q2858))</f>
        <v/>
      </c>
    </row>
    <row r="2859" spans="6:18" x14ac:dyDescent="0.3">
      <c r="F2859" t="str">
        <f>IF(A2859="","",4*AVERAGE($E$7:E2859))</f>
        <v/>
      </c>
      <c r="R2859" t="str">
        <f>IF(L2859="","",6*AVERAGE($Q$7:Q2859))</f>
        <v/>
      </c>
    </row>
    <row r="2860" spans="6:18" x14ac:dyDescent="0.3">
      <c r="F2860" t="str">
        <f>IF(A2860="","",4*AVERAGE($E$7:E2860))</f>
        <v/>
      </c>
      <c r="R2860" t="str">
        <f>IF(L2860="","",6*AVERAGE($Q$7:Q2860))</f>
        <v/>
      </c>
    </row>
    <row r="2861" spans="6:18" x14ac:dyDescent="0.3">
      <c r="F2861" t="str">
        <f>IF(A2861="","",4*AVERAGE($E$7:E2861))</f>
        <v/>
      </c>
      <c r="R2861" t="str">
        <f>IF(L2861="","",6*AVERAGE($Q$7:Q2861))</f>
        <v/>
      </c>
    </row>
    <row r="2862" spans="6:18" x14ac:dyDescent="0.3">
      <c r="F2862" t="str">
        <f>IF(A2862="","",4*AVERAGE($E$7:E2862))</f>
        <v/>
      </c>
      <c r="R2862" t="str">
        <f>IF(L2862="","",6*AVERAGE($Q$7:Q2862))</f>
        <v/>
      </c>
    </row>
    <row r="2863" spans="6:18" x14ac:dyDescent="0.3">
      <c r="F2863" t="str">
        <f>IF(A2863="","",4*AVERAGE($E$7:E2863))</f>
        <v/>
      </c>
      <c r="R2863" t="str">
        <f>IF(L2863="","",6*AVERAGE($Q$7:Q2863))</f>
        <v/>
      </c>
    </row>
    <row r="2864" spans="6:18" x14ac:dyDescent="0.3">
      <c r="F2864" t="str">
        <f>IF(A2864="","",4*AVERAGE($E$7:E2864))</f>
        <v/>
      </c>
      <c r="R2864" t="str">
        <f>IF(L2864="","",6*AVERAGE($Q$7:Q2864))</f>
        <v/>
      </c>
    </row>
    <row r="2865" spans="6:18" x14ac:dyDescent="0.3">
      <c r="F2865" t="str">
        <f>IF(A2865="","",4*AVERAGE($E$7:E2865))</f>
        <v/>
      </c>
      <c r="R2865" t="str">
        <f>IF(L2865="","",6*AVERAGE($Q$7:Q2865))</f>
        <v/>
      </c>
    </row>
    <row r="2866" spans="6:18" x14ac:dyDescent="0.3">
      <c r="F2866" t="str">
        <f>IF(A2866="","",4*AVERAGE($E$7:E2866))</f>
        <v/>
      </c>
      <c r="R2866" t="str">
        <f>IF(L2866="","",6*AVERAGE($Q$7:Q2866))</f>
        <v/>
      </c>
    </row>
    <row r="2867" spans="6:18" x14ac:dyDescent="0.3">
      <c r="F2867" t="str">
        <f>IF(A2867="","",4*AVERAGE($E$7:E2867))</f>
        <v/>
      </c>
      <c r="R2867" t="str">
        <f>IF(L2867="","",6*AVERAGE($Q$7:Q2867))</f>
        <v/>
      </c>
    </row>
    <row r="2868" spans="6:18" x14ac:dyDescent="0.3">
      <c r="F2868" t="str">
        <f>IF(A2868="","",4*AVERAGE($E$7:E2868))</f>
        <v/>
      </c>
      <c r="R2868" t="str">
        <f>IF(L2868="","",6*AVERAGE($Q$7:Q2868))</f>
        <v/>
      </c>
    </row>
    <row r="2869" spans="6:18" x14ac:dyDescent="0.3">
      <c r="F2869" t="str">
        <f>IF(A2869="","",4*AVERAGE($E$7:E2869))</f>
        <v/>
      </c>
      <c r="R2869" t="str">
        <f>IF(L2869="","",6*AVERAGE($Q$7:Q2869))</f>
        <v/>
      </c>
    </row>
    <row r="2870" spans="6:18" x14ac:dyDescent="0.3">
      <c r="F2870" t="str">
        <f>IF(A2870="","",4*AVERAGE($E$7:E2870))</f>
        <v/>
      </c>
      <c r="R2870" t="str">
        <f>IF(L2870="","",6*AVERAGE($Q$7:Q2870))</f>
        <v/>
      </c>
    </row>
    <row r="2871" spans="6:18" x14ac:dyDescent="0.3">
      <c r="F2871" t="str">
        <f>IF(A2871="","",4*AVERAGE($E$7:E2871))</f>
        <v/>
      </c>
      <c r="R2871" t="str">
        <f>IF(L2871="","",6*AVERAGE($Q$7:Q2871))</f>
        <v/>
      </c>
    </row>
    <row r="2872" spans="6:18" x14ac:dyDescent="0.3">
      <c r="F2872" t="str">
        <f>IF(A2872="","",4*AVERAGE($E$7:E2872))</f>
        <v/>
      </c>
      <c r="R2872" t="str">
        <f>IF(L2872="","",6*AVERAGE($Q$7:Q2872))</f>
        <v/>
      </c>
    </row>
    <row r="2873" spans="6:18" x14ac:dyDescent="0.3">
      <c r="F2873" t="str">
        <f>IF(A2873="","",4*AVERAGE($E$7:E2873))</f>
        <v/>
      </c>
      <c r="R2873" t="str">
        <f>IF(L2873="","",6*AVERAGE($Q$7:Q2873))</f>
        <v/>
      </c>
    </row>
    <row r="2874" spans="6:18" x14ac:dyDescent="0.3">
      <c r="F2874" t="str">
        <f>IF(A2874="","",4*AVERAGE($E$7:E2874))</f>
        <v/>
      </c>
      <c r="R2874" t="str">
        <f>IF(L2874="","",6*AVERAGE($Q$7:Q2874))</f>
        <v/>
      </c>
    </row>
    <row r="2875" spans="6:18" x14ac:dyDescent="0.3">
      <c r="F2875" t="str">
        <f>IF(A2875="","",4*AVERAGE($E$7:E2875))</f>
        <v/>
      </c>
      <c r="R2875" t="str">
        <f>IF(L2875="","",6*AVERAGE($Q$7:Q2875))</f>
        <v/>
      </c>
    </row>
    <row r="2876" spans="6:18" x14ac:dyDescent="0.3">
      <c r="F2876" t="str">
        <f>IF(A2876="","",4*AVERAGE($E$7:E2876))</f>
        <v/>
      </c>
      <c r="R2876" t="str">
        <f>IF(L2876="","",6*AVERAGE($Q$7:Q2876))</f>
        <v/>
      </c>
    </row>
    <row r="2877" spans="6:18" x14ac:dyDescent="0.3">
      <c r="F2877" t="str">
        <f>IF(A2877="","",4*AVERAGE($E$7:E2877))</f>
        <v/>
      </c>
      <c r="R2877" t="str">
        <f>IF(L2877="","",6*AVERAGE($Q$7:Q2877))</f>
        <v/>
      </c>
    </row>
    <row r="2878" spans="6:18" x14ac:dyDescent="0.3">
      <c r="F2878" t="str">
        <f>IF(A2878="","",4*AVERAGE($E$7:E2878))</f>
        <v/>
      </c>
      <c r="R2878" t="str">
        <f>IF(L2878="","",6*AVERAGE($Q$7:Q2878))</f>
        <v/>
      </c>
    </row>
    <row r="2879" spans="6:18" x14ac:dyDescent="0.3">
      <c r="F2879" t="str">
        <f>IF(A2879="","",4*AVERAGE($E$7:E2879))</f>
        <v/>
      </c>
      <c r="R2879" t="str">
        <f>IF(L2879="","",6*AVERAGE($Q$7:Q2879))</f>
        <v/>
      </c>
    </row>
    <row r="2880" spans="6:18" x14ac:dyDescent="0.3">
      <c r="F2880" t="str">
        <f>IF(A2880="","",4*AVERAGE($E$7:E2880))</f>
        <v/>
      </c>
      <c r="R2880" t="str">
        <f>IF(L2880="","",6*AVERAGE($Q$7:Q2880))</f>
        <v/>
      </c>
    </row>
    <row r="2881" spans="6:18" x14ac:dyDescent="0.3">
      <c r="F2881" t="str">
        <f>IF(A2881="","",4*AVERAGE($E$7:E2881))</f>
        <v/>
      </c>
      <c r="R2881" t="str">
        <f>IF(L2881="","",6*AVERAGE($Q$7:Q2881))</f>
        <v/>
      </c>
    </row>
    <row r="2882" spans="6:18" x14ac:dyDescent="0.3">
      <c r="F2882" t="str">
        <f>IF(A2882="","",4*AVERAGE($E$7:E2882))</f>
        <v/>
      </c>
      <c r="R2882" t="str">
        <f>IF(L2882="","",6*AVERAGE($Q$7:Q2882))</f>
        <v/>
      </c>
    </row>
    <row r="2883" spans="6:18" x14ac:dyDescent="0.3">
      <c r="F2883" t="str">
        <f>IF(A2883="","",4*AVERAGE($E$7:E2883))</f>
        <v/>
      </c>
      <c r="R2883" t="str">
        <f>IF(L2883="","",6*AVERAGE($Q$7:Q2883))</f>
        <v/>
      </c>
    </row>
    <row r="2884" spans="6:18" x14ac:dyDescent="0.3">
      <c r="F2884" t="str">
        <f>IF(A2884="","",4*AVERAGE($E$7:E2884))</f>
        <v/>
      </c>
      <c r="R2884" t="str">
        <f>IF(L2884="","",6*AVERAGE($Q$7:Q2884))</f>
        <v/>
      </c>
    </row>
    <row r="2885" spans="6:18" x14ac:dyDescent="0.3">
      <c r="F2885" t="str">
        <f>IF(A2885="","",4*AVERAGE($E$7:E2885))</f>
        <v/>
      </c>
      <c r="R2885" t="str">
        <f>IF(L2885="","",6*AVERAGE($Q$7:Q2885))</f>
        <v/>
      </c>
    </row>
    <row r="2886" spans="6:18" x14ac:dyDescent="0.3">
      <c r="F2886" t="str">
        <f>IF(A2886="","",4*AVERAGE($E$7:E2886))</f>
        <v/>
      </c>
      <c r="R2886" t="str">
        <f>IF(L2886="","",6*AVERAGE($Q$7:Q2886))</f>
        <v/>
      </c>
    </row>
    <row r="2887" spans="6:18" x14ac:dyDescent="0.3">
      <c r="F2887" t="str">
        <f>IF(A2887="","",4*AVERAGE($E$7:E2887))</f>
        <v/>
      </c>
      <c r="R2887" t="str">
        <f>IF(L2887="","",6*AVERAGE($Q$7:Q2887))</f>
        <v/>
      </c>
    </row>
    <row r="2888" spans="6:18" x14ac:dyDescent="0.3">
      <c r="F2888" t="str">
        <f>IF(A2888="","",4*AVERAGE($E$7:E2888))</f>
        <v/>
      </c>
      <c r="R2888" t="str">
        <f>IF(L2888="","",6*AVERAGE($Q$7:Q2888))</f>
        <v/>
      </c>
    </row>
    <row r="2889" spans="6:18" x14ac:dyDescent="0.3">
      <c r="F2889" t="str">
        <f>IF(A2889="","",4*AVERAGE($E$7:E2889))</f>
        <v/>
      </c>
      <c r="R2889" t="str">
        <f>IF(L2889="","",6*AVERAGE($Q$7:Q2889))</f>
        <v/>
      </c>
    </row>
    <row r="2890" spans="6:18" x14ac:dyDescent="0.3">
      <c r="F2890" t="str">
        <f>IF(A2890="","",4*AVERAGE($E$7:E2890))</f>
        <v/>
      </c>
      <c r="R2890" t="str">
        <f>IF(L2890="","",6*AVERAGE($Q$7:Q2890))</f>
        <v/>
      </c>
    </row>
    <row r="2891" spans="6:18" x14ac:dyDescent="0.3">
      <c r="F2891" t="str">
        <f>IF(A2891="","",4*AVERAGE($E$7:E2891))</f>
        <v/>
      </c>
      <c r="R2891" t="str">
        <f>IF(L2891="","",6*AVERAGE($Q$7:Q2891))</f>
        <v/>
      </c>
    </row>
    <row r="2892" spans="6:18" x14ac:dyDescent="0.3">
      <c r="F2892" t="str">
        <f>IF(A2892="","",4*AVERAGE($E$7:E2892))</f>
        <v/>
      </c>
      <c r="R2892" t="str">
        <f>IF(L2892="","",6*AVERAGE($Q$7:Q2892))</f>
        <v/>
      </c>
    </row>
    <row r="2893" spans="6:18" x14ac:dyDescent="0.3">
      <c r="F2893" t="str">
        <f>IF(A2893="","",4*AVERAGE($E$7:E2893))</f>
        <v/>
      </c>
      <c r="R2893" t="str">
        <f>IF(L2893="","",6*AVERAGE($Q$7:Q2893))</f>
        <v/>
      </c>
    </row>
    <row r="2894" spans="6:18" x14ac:dyDescent="0.3">
      <c r="F2894" t="str">
        <f>IF(A2894="","",4*AVERAGE($E$7:E2894))</f>
        <v/>
      </c>
      <c r="R2894" t="str">
        <f>IF(L2894="","",6*AVERAGE($Q$7:Q2894))</f>
        <v/>
      </c>
    </row>
    <row r="2895" spans="6:18" x14ac:dyDescent="0.3">
      <c r="F2895" t="str">
        <f>IF(A2895="","",4*AVERAGE($E$7:E2895))</f>
        <v/>
      </c>
      <c r="R2895" t="str">
        <f>IF(L2895="","",6*AVERAGE($Q$7:Q2895))</f>
        <v/>
      </c>
    </row>
    <row r="2896" spans="6:18" x14ac:dyDescent="0.3">
      <c r="F2896" t="str">
        <f>IF(A2896="","",4*AVERAGE($E$7:E2896))</f>
        <v/>
      </c>
      <c r="R2896" t="str">
        <f>IF(L2896="","",6*AVERAGE($Q$7:Q2896))</f>
        <v/>
      </c>
    </row>
    <row r="2897" spans="6:18" x14ac:dyDescent="0.3">
      <c r="F2897" t="str">
        <f>IF(A2897="","",4*AVERAGE($E$7:E2897))</f>
        <v/>
      </c>
      <c r="R2897" t="str">
        <f>IF(L2897="","",6*AVERAGE($Q$7:Q2897))</f>
        <v/>
      </c>
    </row>
    <row r="2898" spans="6:18" x14ac:dyDescent="0.3">
      <c r="F2898" t="str">
        <f>IF(A2898="","",4*AVERAGE($E$7:E2898))</f>
        <v/>
      </c>
      <c r="R2898" t="str">
        <f>IF(L2898="","",6*AVERAGE($Q$7:Q2898))</f>
        <v/>
      </c>
    </row>
    <row r="2899" spans="6:18" x14ac:dyDescent="0.3">
      <c r="F2899" t="str">
        <f>IF(A2899="","",4*AVERAGE($E$7:E2899))</f>
        <v/>
      </c>
      <c r="R2899" t="str">
        <f>IF(L2899="","",6*AVERAGE($Q$7:Q2899))</f>
        <v/>
      </c>
    </row>
    <row r="2900" spans="6:18" x14ac:dyDescent="0.3">
      <c r="F2900" t="str">
        <f>IF(A2900="","",4*AVERAGE($E$7:E2900))</f>
        <v/>
      </c>
      <c r="R2900" t="str">
        <f>IF(L2900="","",6*AVERAGE($Q$7:Q2900))</f>
        <v/>
      </c>
    </row>
    <row r="2901" spans="6:18" x14ac:dyDescent="0.3">
      <c r="F2901" t="str">
        <f>IF(A2901="","",4*AVERAGE($E$7:E2901))</f>
        <v/>
      </c>
      <c r="R2901" t="str">
        <f>IF(L2901="","",6*AVERAGE($Q$7:Q2901))</f>
        <v/>
      </c>
    </row>
    <row r="2902" spans="6:18" x14ac:dyDescent="0.3">
      <c r="F2902" t="str">
        <f>IF(A2902="","",4*AVERAGE($E$7:E2902))</f>
        <v/>
      </c>
      <c r="R2902" t="str">
        <f>IF(L2902="","",6*AVERAGE($Q$7:Q2902))</f>
        <v/>
      </c>
    </row>
    <row r="2903" spans="6:18" x14ac:dyDescent="0.3">
      <c r="F2903" t="str">
        <f>IF(A2903="","",4*AVERAGE($E$7:E2903))</f>
        <v/>
      </c>
      <c r="R2903" t="str">
        <f>IF(L2903="","",6*AVERAGE($Q$7:Q2903))</f>
        <v/>
      </c>
    </row>
    <row r="2904" spans="6:18" x14ac:dyDescent="0.3">
      <c r="F2904" t="str">
        <f>IF(A2904="","",4*AVERAGE($E$7:E2904))</f>
        <v/>
      </c>
      <c r="R2904" t="str">
        <f>IF(L2904="","",6*AVERAGE($Q$7:Q2904))</f>
        <v/>
      </c>
    </row>
    <row r="2905" spans="6:18" x14ac:dyDescent="0.3">
      <c r="F2905" t="str">
        <f>IF(A2905="","",4*AVERAGE($E$7:E2905))</f>
        <v/>
      </c>
      <c r="R2905" t="str">
        <f>IF(L2905="","",6*AVERAGE($Q$7:Q2905))</f>
        <v/>
      </c>
    </row>
    <row r="2906" spans="6:18" x14ac:dyDescent="0.3">
      <c r="F2906" t="str">
        <f>IF(A2906="","",4*AVERAGE($E$7:E2906))</f>
        <v/>
      </c>
      <c r="R2906" t="str">
        <f>IF(L2906="","",6*AVERAGE($Q$7:Q2906))</f>
        <v/>
      </c>
    </row>
    <row r="2907" spans="6:18" x14ac:dyDescent="0.3">
      <c r="F2907" t="str">
        <f>IF(A2907="","",4*AVERAGE($E$7:E2907))</f>
        <v/>
      </c>
      <c r="R2907" t="str">
        <f>IF(L2907="","",6*AVERAGE($Q$7:Q2907))</f>
        <v/>
      </c>
    </row>
    <row r="2908" spans="6:18" x14ac:dyDescent="0.3">
      <c r="F2908" t="str">
        <f>IF(A2908="","",4*AVERAGE($E$7:E2908))</f>
        <v/>
      </c>
      <c r="R2908" t="str">
        <f>IF(L2908="","",6*AVERAGE($Q$7:Q2908))</f>
        <v/>
      </c>
    </row>
    <row r="2909" spans="6:18" x14ac:dyDescent="0.3">
      <c r="F2909" t="str">
        <f>IF(A2909="","",4*AVERAGE($E$7:E2909))</f>
        <v/>
      </c>
      <c r="R2909" t="str">
        <f>IF(L2909="","",6*AVERAGE($Q$7:Q2909))</f>
        <v/>
      </c>
    </row>
    <row r="2910" spans="6:18" x14ac:dyDescent="0.3">
      <c r="F2910" t="str">
        <f>IF(A2910="","",4*AVERAGE($E$7:E2910))</f>
        <v/>
      </c>
      <c r="R2910" t="str">
        <f>IF(L2910="","",6*AVERAGE($Q$7:Q2910))</f>
        <v/>
      </c>
    </row>
    <row r="2911" spans="6:18" x14ac:dyDescent="0.3">
      <c r="F2911" t="str">
        <f>IF(A2911="","",4*AVERAGE($E$7:E2911))</f>
        <v/>
      </c>
      <c r="R2911" t="str">
        <f>IF(L2911="","",6*AVERAGE($Q$7:Q2911))</f>
        <v/>
      </c>
    </row>
    <row r="2912" spans="6:18" x14ac:dyDescent="0.3">
      <c r="F2912" t="str">
        <f>IF(A2912="","",4*AVERAGE($E$7:E2912))</f>
        <v/>
      </c>
      <c r="R2912" t="str">
        <f>IF(L2912="","",6*AVERAGE($Q$7:Q2912))</f>
        <v/>
      </c>
    </row>
    <row r="2913" spans="6:18" x14ac:dyDescent="0.3">
      <c r="F2913" t="str">
        <f>IF(A2913="","",4*AVERAGE($E$7:E2913))</f>
        <v/>
      </c>
      <c r="R2913" t="str">
        <f>IF(L2913="","",6*AVERAGE($Q$7:Q2913))</f>
        <v/>
      </c>
    </row>
    <row r="2914" spans="6:18" x14ac:dyDescent="0.3">
      <c r="F2914" t="str">
        <f>IF(A2914="","",4*AVERAGE($E$7:E2914))</f>
        <v/>
      </c>
      <c r="R2914" t="str">
        <f>IF(L2914="","",6*AVERAGE($Q$7:Q2914))</f>
        <v/>
      </c>
    </row>
    <row r="2915" spans="6:18" x14ac:dyDescent="0.3">
      <c r="F2915" t="str">
        <f>IF(A2915="","",4*AVERAGE($E$7:E2915))</f>
        <v/>
      </c>
      <c r="R2915" t="str">
        <f>IF(L2915="","",6*AVERAGE($Q$7:Q2915))</f>
        <v/>
      </c>
    </row>
    <row r="2916" spans="6:18" x14ac:dyDescent="0.3">
      <c r="F2916" t="str">
        <f>IF(A2916="","",4*AVERAGE($E$7:E2916))</f>
        <v/>
      </c>
      <c r="R2916" t="str">
        <f>IF(L2916="","",6*AVERAGE($Q$7:Q2916))</f>
        <v/>
      </c>
    </row>
    <row r="2917" spans="6:18" x14ac:dyDescent="0.3">
      <c r="F2917" t="str">
        <f>IF(A2917="","",4*AVERAGE($E$7:E2917))</f>
        <v/>
      </c>
      <c r="R2917" t="str">
        <f>IF(L2917="","",6*AVERAGE($Q$7:Q2917))</f>
        <v/>
      </c>
    </row>
    <row r="2918" spans="6:18" x14ac:dyDescent="0.3">
      <c r="F2918" t="str">
        <f>IF(A2918="","",4*AVERAGE($E$7:E2918))</f>
        <v/>
      </c>
      <c r="R2918" t="str">
        <f>IF(L2918="","",6*AVERAGE($Q$7:Q2918))</f>
        <v/>
      </c>
    </row>
    <row r="2919" spans="6:18" x14ac:dyDescent="0.3">
      <c r="F2919" t="str">
        <f>IF(A2919="","",4*AVERAGE($E$7:E2919))</f>
        <v/>
      </c>
      <c r="R2919" t="str">
        <f>IF(L2919="","",6*AVERAGE($Q$7:Q2919))</f>
        <v/>
      </c>
    </row>
    <row r="2920" spans="6:18" x14ac:dyDescent="0.3">
      <c r="F2920" t="str">
        <f>IF(A2920="","",4*AVERAGE($E$7:E2920))</f>
        <v/>
      </c>
      <c r="R2920" t="str">
        <f>IF(L2920="","",6*AVERAGE($Q$7:Q2920))</f>
        <v/>
      </c>
    </row>
    <row r="2921" spans="6:18" x14ac:dyDescent="0.3">
      <c r="F2921" t="str">
        <f>IF(A2921="","",4*AVERAGE($E$7:E2921))</f>
        <v/>
      </c>
      <c r="R2921" t="str">
        <f>IF(L2921="","",6*AVERAGE($Q$7:Q2921))</f>
        <v/>
      </c>
    </row>
    <row r="2922" spans="6:18" x14ac:dyDescent="0.3">
      <c r="F2922" t="str">
        <f>IF(A2922="","",4*AVERAGE($E$7:E2922))</f>
        <v/>
      </c>
      <c r="R2922" t="str">
        <f>IF(L2922="","",6*AVERAGE($Q$7:Q2922))</f>
        <v/>
      </c>
    </row>
    <row r="2923" spans="6:18" x14ac:dyDescent="0.3">
      <c r="F2923" t="str">
        <f>IF(A2923="","",4*AVERAGE($E$7:E2923))</f>
        <v/>
      </c>
      <c r="R2923" t="str">
        <f>IF(L2923="","",6*AVERAGE($Q$7:Q2923))</f>
        <v/>
      </c>
    </row>
    <row r="2924" spans="6:18" x14ac:dyDescent="0.3">
      <c r="F2924" t="str">
        <f>IF(A2924="","",4*AVERAGE($E$7:E2924))</f>
        <v/>
      </c>
      <c r="R2924" t="str">
        <f>IF(L2924="","",6*AVERAGE($Q$7:Q2924))</f>
        <v/>
      </c>
    </row>
    <row r="2925" spans="6:18" x14ac:dyDescent="0.3">
      <c r="F2925" t="str">
        <f>IF(A2925="","",4*AVERAGE($E$7:E2925))</f>
        <v/>
      </c>
      <c r="R2925" t="str">
        <f>IF(L2925="","",6*AVERAGE($Q$7:Q2925))</f>
        <v/>
      </c>
    </row>
    <row r="2926" spans="6:18" x14ac:dyDescent="0.3">
      <c r="F2926" t="str">
        <f>IF(A2926="","",4*AVERAGE($E$7:E2926))</f>
        <v/>
      </c>
      <c r="R2926" t="str">
        <f>IF(L2926="","",6*AVERAGE($Q$7:Q2926))</f>
        <v/>
      </c>
    </row>
    <row r="2927" spans="6:18" x14ac:dyDescent="0.3">
      <c r="F2927" t="str">
        <f>IF(A2927="","",4*AVERAGE($E$7:E2927))</f>
        <v/>
      </c>
      <c r="R2927" t="str">
        <f>IF(L2927="","",6*AVERAGE($Q$7:Q2927))</f>
        <v/>
      </c>
    </row>
    <row r="2928" spans="6:18" x14ac:dyDescent="0.3">
      <c r="F2928" t="str">
        <f>IF(A2928="","",4*AVERAGE($E$7:E2928))</f>
        <v/>
      </c>
      <c r="R2928" t="str">
        <f>IF(L2928="","",6*AVERAGE($Q$7:Q2928))</f>
        <v/>
      </c>
    </row>
    <row r="2929" spans="6:18" x14ac:dyDescent="0.3">
      <c r="F2929" t="str">
        <f>IF(A2929="","",4*AVERAGE($E$7:E2929))</f>
        <v/>
      </c>
      <c r="R2929" t="str">
        <f>IF(L2929="","",6*AVERAGE($Q$7:Q2929))</f>
        <v/>
      </c>
    </row>
    <row r="2930" spans="6:18" x14ac:dyDescent="0.3">
      <c r="F2930" t="str">
        <f>IF(A2930="","",4*AVERAGE($E$7:E2930))</f>
        <v/>
      </c>
      <c r="R2930" t="str">
        <f>IF(L2930="","",6*AVERAGE($Q$7:Q2930))</f>
        <v/>
      </c>
    </row>
    <row r="2931" spans="6:18" x14ac:dyDescent="0.3">
      <c r="F2931" t="str">
        <f>IF(A2931="","",4*AVERAGE($E$7:E2931))</f>
        <v/>
      </c>
      <c r="R2931" t="str">
        <f>IF(L2931="","",6*AVERAGE($Q$7:Q2931))</f>
        <v/>
      </c>
    </row>
    <row r="2932" spans="6:18" x14ac:dyDescent="0.3">
      <c r="F2932" t="str">
        <f>IF(A2932="","",4*AVERAGE($E$7:E2932))</f>
        <v/>
      </c>
      <c r="R2932" t="str">
        <f>IF(L2932="","",6*AVERAGE($Q$7:Q2932))</f>
        <v/>
      </c>
    </row>
    <row r="2933" spans="6:18" x14ac:dyDescent="0.3">
      <c r="F2933" t="str">
        <f>IF(A2933="","",4*AVERAGE($E$7:E2933))</f>
        <v/>
      </c>
      <c r="R2933" t="str">
        <f>IF(L2933="","",6*AVERAGE($Q$7:Q2933))</f>
        <v/>
      </c>
    </row>
    <row r="2934" spans="6:18" x14ac:dyDescent="0.3">
      <c r="F2934" t="str">
        <f>IF(A2934="","",4*AVERAGE($E$7:E2934))</f>
        <v/>
      </c>
      <c r="R2934" t="str">
        <f>IF(L2934="","",6*AVERAGE($Q$7:Q2934))</f>
        <v/>
      </c>
    </row>
    <row r="2935" spans="6:18" x14ac:dyDescent="0.3">
      <c r="F2935" t="str">
        <f>IF(A2935="","",4*AVERAGE($E$7:E2935))</f>
        <v/>
      </c>
      <c r="R2935" t="str">
        <f>IF(L2935="","",6*AVERAGE($Q$7:Q2935))</f>
        <v/>
      </c>
    </row>
    <row r="2936" spans="6:18" x14ac:dyDescent="0.3">
      <c r="F2936" t="str">
        <f>IF(A2936="","",4*AVERAGE($E$7:E2936))</f>
        <v/>
      </c>
      <c r="R2936" t="str">
        <f>IF(L2936="","",6*AVERAGE($Q$7:Q2936))</f>
        <v/>
      </c>
    </row>
    <row r="2937" spans="6:18" x14ac:dyDescent="0.3">
      <c r="F2937" t="str">
        <f>IF(A2937="","",4*AVERAGE($E$7:E2937))</f>
        <v/>
      </c>
      <c r="R2937" t="str">
        <f>IF(L2937="","",6*AVERAGE($Q$7:Q2937))</f>
        <v/>
      </c>
    </row>
    <row r="2938" spans="6:18" x14ac:dyDescent="0.3">
      <c r="F2938" t="str">
        <f>IF(A2938="","",4*AVERAGE($E$7:E2938))</f>
        <v/>
      </c>
      <c r="R2938" t="str">
        <f>IF(L2938="","",6*AVERAGE($Q$7:Q2938))</f>
        <v/>
      </c>
    </row>
    <row r="2939" spans="6:18" x14ac:dyDescent="0.3">
      <c r="F2939" t="str">
        <f>IF(A2939="","",4*AVERAGE($E$7:E2939))</f>
        <v/>
      </c>
      <c r="R2939" t="str">
        <f>IF(L2939="","",6*AVERAGE($Q$7:Q2939))</f>
        <v/>
      </c>
    </row>
    <row r="2940" spans="6:18" x14ac:dyDescent="0.3">
      <c r="F2940" t="str">
        <f>IF(A2940="","",4*AVERAGE($E$7:E2940))</f>
        <v/>
      </c>
      <c r="R2940" t="str">
        <f>IF(L2940="","",6*AVERAGE($Q$7:Q2940))</f>
        <v/>
      </c>
    </row>
    <row r="2941" spans="6:18" x14ac:dyDescent="0.3">
      <c r="F2941" t="str">
        <f>IF(A2941="","",4*AVERAGE($E$7:E2941))</f>
        <v/>
      </c>
      <c r="R2941" t="str">
        <f>IF(L2941="","",6*AVERAGE($Q$7:Q2941))</f>
        <v/>
      </c>
    </row>
    <row r="2942" spans="6:18" x14ac:dyDescent="0.3">
      <c r="F2942" t="str">
        <f>IF(A2942="","",4*AVERAGE($E$7:E2942))</f>
        <v/>
      </c>
      <c r="R2942" t="str">
        <f>IF(L2942="","",6*AVERAGE($Q$7:Q2942))</f>
        <v/>
      </c>
    </row>
    <row r="2943" spans="6:18" x14ac:dyDescent="0.3">
      <c r="F2943" t="str">
        <f>IF(A2943="","",4*AVERAGE($E$7:E2943))</f>
        <v/>
      </c>
      <c r="R2943" t="str">
        <f>IF(L2943="","",6*AVERAGE($Q$7:Q2943))</f>
        <v/>
      </c>
    </row>
    <row r="2944" spans="6:18" x14ac:dyDescent="0.3">
      <c r="F2944" t="str">
        <f>IF(A2944="","",4*AVERAGE($E$7:E2944))</f>
        <v/>
      </c>
      <c r="R2944" t="str">
        <f>IF(L2944="","",6*AVERAGE($Q$7:Q2944))</f>
        <v/>
      </c>
    </row>
    <row r="2945" spans="6:18" x14ac:dyDescent="0.3">
      <c r="F2945" t="str">
        <f>IF(A2945="","",4*AVERAGE($E$7:E2945))</f>
        <v/>
      </c>
      <c r="R2945" t="str">
        <f>IF(L2945="","",6*AVERAGE($Q$7:Q2945))</f>
        <v/>
      </c>
    </row>
    <row r="2946" spans="6:18" x14ac:dyDescent="0.3">
      <c r="F2946" t="str">
        <f>IF(A2946="","",4*AVERAGE($E$7:E2946))</f>
        <v/>
      </c>
      <c r="R2946" t="str">
        <f>IF(L2946="","",6*AVERAGE($Q$7:Q2946))</f>
        <v/>
      </c>
    </row>
    <row r="2947" spans="6:18" x14ac:dyDescent="0.3">
      <c r="F2947" t="str">
        <f>IF(A2947="","",4*AVERAGE($E$7:E2947))</f>
        <v/>
      </c>
      <c r="R2947" t="str">
        <f>IF(L2947="","",6*AVERAGE($Q$7:Q2947))</f>
        <v/>
      </c>
    </row>
    <row r="2948" spans="6:18" x14ac:dyDescent="0.3">
      <c r="F2948" t="str">
        <f>IF(A2948="","",4*AVERAGE($E$7:E2948))</f>
        <v/>
      </c>
      <c r="R2948" t="str">
        <f>IF(L2948="","",6*AVERAGE($Q$7:Q2948))</f>
        <v/>
      </c>
    </row>
    <row r="2949" spans="6:18" x14ac:dyDescent="0.3">
      <c r="F2949" t="str">
        <f>IF(A2949="","",4*AVERAGE($E$7:E2949))</f>
        <v/>
      </c>
      <c r="R2949" t="str">
        <f>IF(L2949="","",6*AVERAGE($Q$7:Q2949))</f>
        <v/>
      </c>
    </row>
    <row r="2950" spans="6:18" x14ac:dyDescent="0.3">
      <c r="F2950" t="str">
        <f>IF(A2950="","",4*AVERAGE($E$7:E2950))</f>
        <v/>
      </c>
      <c r="R2950" t="str">
        <f>IF(L2950="","",6*AVERAGE($Q$7:Q2950))</f>
        <v/>
      </c>
    </row>
    <row r="2951" spans="6:18" x14ac:dyDescent="0.3">
      <c r="F2951" t="str">
        <f>IF(A2951="","",4*AVERAGE($E$7:E2951))</f>
        <v/>
      </c>
      <c r="R2951" t="str">
        <f>IF(L2951="","",6*AVERAGE($Q$7:Q2951))</f>
        <v/>
      </c>
    </row>
    <row r="2952" spans="6:18" x14ac:dyDescent="0.3">
      <c r="F2952" t="str">
        <f>IF(A2952="","",4*AVERAGE($E$7:E2952))</f>
        <v/>
      </c>
      <c r="R2952" t="str">
        <f>IF(L2952="","",6*AVERAGE($Q$7:Q2952))</f>
        <v/>
      </c>
    </row>
    <row r="2953" spans="6:18" x14ac:dyDescent="0.3">
      <c r="F2953" t="str">
        <f>IF(A2953="","",4*AVERAGE($E$7:E2953))</f>
        <v/>
      </c>
      <c r="R2953" t="str">
        <f>IF(L2953="","",6*AVERAGE($Q$7:Q2953))</f>
        <v/>
      </c>
    </row>
    <row r="2954" spans="6:18" x14ac:dyDescent="0.3">
      <c r="F2954" t="str">
        <f>IF(A2954="","",4*AVERAGE($E$7:E2954))</f>
        <v/>
      </c>
      <c r="R2954" t="str">
        <f>IF(L2954="","",6*AVERAGE($Q$7:Q2954))</f>
        <v/>
      </c>
    </row>
    <row r="2955" spans="6:18" x14ac:dyDescent="0.3">
      <c r="F2955" t="str">
        <f>IF(A2955="","",4*AVERAGE($E$7:E2955))</f>
        <v/>
      </c>
      <c r="R2955" t="str">
        <f>IF(L2955="","",6*AVERAGE($Q$7:Q2955))</f>
        <v/>
      </c>
    </row>
    <row r="2956" spans="6:18" x14ac:dyDescent="0.3">
      <c r="F2956" t="str">
        <f>IF(A2956="","",4*AVERAGE($E$7:E2956))</f>
        <v/>
      </c>
      <c r="R2956" t="str">
        <f>IF(L2956="","",6*AVERAGE($Q$7:Q2956))</f>
        <v/>
      </c>
    </row>
    <row r="2957" spans="6:18" x14ac:dyDescent="0.3">
      <c r="F2957" t="str">
        <f>IF(A2957="","",4*AVERAGE($E$7:E2957))</f>
        <v/>
      </c>
      <c r="R2957" t="str">
        <f>IF(L2957="","",6*AVERAGE($Q$7:Q2957))</f>
        <v/>
      </c>
    </row>
    <row r="2958" spans="6:18" x14ac:dyDescent="0.3">
      <c r="F2958" t="str">
        <f>IF(A2958="","",4*AVERAGE($E$7:E2958))</f>
        <v/>
      </c>
      <c r="R2958" t="str">
        <f>IF(L2958="","",6*AVERAGE($Q$7:Q2958))</f>
        <v/>
      </c>
    </row>
    <row r="2959" spans="6:18" x14ac:dyDescent="0.3">
      <c r="F2959" t="str">
        <f>IF(A2959="","",4*AVERAGE($E$7:E2959))</f>
        <v/>
      </c>
      <c r="R2959" t="str">
        <f>IF(L2959="","",6*AVERAGE($Q$7:Q2959))</f>
        <v/>
      </c>
    </row>
    <row r="2960" spans="6:18" x14ac:dyDescent="0.3">
      <c r="F2960" t="str">
        <f>IF(A2960="","",4*AVERAGE($E$7:E2960))</f>
        <v/>
      </c>
      <c r="R2960" t="str">
        <f>IF(L2960="","",6*AVERAGE($Q$7:Q2960))</f>
        <v/>
      </c>
    </row>
    <row r="2961" spans="6:18" x14ac:dyDescent="0.3">
      <c r="F2961" t="str">
        <f>IF(A2961="","",4*AVERAGE($E$7:E2961))</f>
        <v/>
      </c>
      <c r="R2961" t="str">
        <f>IF(L2961="","",6*AVERAGE($Q$7:Q2961))</f>
        <v/>
      </c>
    </row>
    <row r="2962" spans="6:18" x14ac:dyDescent="0.3">
      <c r="F2962" t="str">
        <f>IF(A2962="","",4*AVERAGE($E$7:E2962))</f>
        <v/>
      </c>
      <c r="R2962" t="str">
        <f>IF(L2962="","",6*AVERAGE($Q$7:Q2962))</f>
        <v/>
      </c>
    </row>
    <row r="2963" spans="6:18" x14ac:dyDescent="0.3">
      <c r="F2963" t="str">
        <f>IF(A2963="","",4*AVERAGE($E$7:E2963))</f>
        <v/>
      </c>
      <c r="R2963" t="str">
        <f>IF(L2963="","",6*AVERAGE($Q$7:Q2963))</f>
        <v/>
      </c>
    </row>
    <row r="2964" spans="6:18" x14ac:dyDescent="0.3">
      <c r="F2964" t="str">
        <f>IF(A2964="","",4*AVERAGE($E$7:E2964))</f>
        <v/>
      </c>
      <c r="R2964" t="str">
        <f>IF(L2964="","",6*AVERAGE($Q$7:Q2964))</f>
        <v/>
      </c>
    </row>
    <row r="2965" spans="6:18" x14ac:dyDescent="0.3">
      <c r="F2965" t="str">
        <f>IF(A2965="","",4*AVERAGE($E$7:E2965))</f>
        <v/>
      </c>
      <c r="R2965" t="str">
        <f>IF(L2965="","",6*AVERAGE($Q$7:Q2965))</f>
        <v/>
      </c>
    </row>
    <row r="2966" spans="6:18" x14ac:dyDescent="0.3">
      <c r="F2966" t="str">
        <f>IF(A2966="","",4*AVERAGE($E$7:E2966))</f>
        <v/>
      </c>
      <c r="R2966" t="str">
        <f>IF(L2966="","",6*AVERAGE($Q$7:Q2966))</f>
        <v/>
      </c>
    </row>
    <row r="2967" spans="6:18" x14ac:dyDescent="0.3">
      <c r="F2967" t="str">
        <f>IF(A2967="","",4*AVERAGE($E$7:E2967))</f>
        <v/>
      </c>
      <c r="R2967" t="str">
        <f>IF(L2967="","",6*AVERAGE($Q$7:Q2967))</f>
        <v/>
      </c>
    </row>
    <row r="2968" spans="6:18" x14ac:dyDescent="0.3">
      <c r="F2968" t="str">
        <f>IF(A2968="","",4*AVERAGE($E$7:E2968))</f>
        <v/>
      </c>
      <c r="R2968" t="str">
        <f>IF(L2968="","",6*AVERAGE($Q$7:Q2968))</f>
        <v/>
      </c>
    </row>
    <row r="2969" spans="6:18" x14ac:dyDescent="0.3">
      <c r="F2969" t="str">
        <f>IF(A2969="","",4*AVERAGE($E$7:E2969))</f>
        <v/>
      </c>
      <c r="R2969" t="str">
        <f>IF(L2969="","",6*AVERAGE($Q$7:Q2969))</f>
        <v/>
      </c>
    </row>
    <row r="2970" spans="6:18" x14ac:dyDescent="0.3">
      <c r="F2970" t="str">
        <f>IF(A2970="","",4*AVERAGE($E$7:E2970))</f>
        <v/>
      </c>
      <c r="R2970" t="str">
        <f>IF(L2970="","",6*AVERAGE($Q$7:Q2970))</f>
        <v/>
      </c>
    </row>
    <row r="2971" spans="6:18" x14ac:dyDescent="0.3">
      <c r="F2971" t="str">
        <f>IF(A2971="","",4*AVERAGE($E$7:E2971))</f>
        <v/>
      </c>
      <c r="R2971" t="str">
        <f>IF(L2971="","",6*AVERAGE($Q$7:Q2971))</f>
        <v/>
      </c>
    </row>
    <row r="2972" spans="6:18" x14ac:dyDescent="0.3">
      <c r="F2972" t="str">
        <f>IF(A2972="","",4*AVERAGE($E$7:E2972))</f>
        <v/>
      </c>
      <c r="R2972" t="str">
        <f>IF(L2972="","",6*AVERAGE($Q$7:Q2972))</f>
        <v/>
      </c>
    </row>
    <row r="2973" spans="6:18" x14ac:dyDescent="0.3">
      <c r="F2973" t="str">
        <f>IF(A2973="","",4*AVERAGE($E$7:E2973))</f>
        <v/>
      </c>
      <c r="R2973" t="str">
        <f>IF(L2973="","",6*AVERAGE($Q$7:Q2973))</f>
        <v/>
      </c>
    </row>
    <row r="2974" spans="6:18" x14ac:dyDescent="0.3">
      <c r="F2974" t="str">
        <f>IF(A2974="","",4*AVERAGE($E$7:E2974))</f>
        <v/>
      </c>
      <c r="R2974" t="str">
        <f>IF(L2974="","",6*AVERAGE($Q$7:Q2974))</f>
        <v/>
      </c>
    </row>
    <row r="2975" spans="6:18" x14ac:dyDescent="0.3">
      <c r="F2975" t="str">
        <f>IF(A2975="","",4*AVERAGE($E$7:E2975))</f>
        <v/>
      </c>
      <c r="R2975" t="str">
        <f>IF(L2975="","",6*AVERAGE($Q$7:Q2975))</f>
        <v/>
      </c>
    </row>
    <row r="2976" spans="6:18" x14ac:dyDescent="0.3">
      <c r="F2976" t="str">
        <f>IF(A2976="","",4*AVERAGE($E$7:E2976))</f>
        <v/>
      </c>
      <c r="R2976" t="str">
        <f>IF(L2976="","",6*AVERAGE($Q$7:Q2976))</f>
        <v/>
      </c>
    </row>
    <row r="2977" spans="6:18" x14ac:dyDescent="0.3">
      <c r="F2977" t="str">
        <f>IF(A2977="","",4*AVERAGE($E$7:E2977))</f>
        <v/>
      </c>
      <c r="R2977" t="str">
        <f>IF(L2977="","",6*AVERAGE($Q$7:Q2977))</f>
        <v/>
      </c>
    </row>
    <row r="2978" spans="6:18" x14ac:dyDescent="0.3">
      <c r="F2978" t="str">
        <f>IF(A2978="","",4*AVERAGE($E$7:E2978))</f>
        <v/>
      </c>
      <c r="R2978" t="str">
        <f>IF(L2978="","",6*AVERAGE($Q$7:Q2978))</f>
        <v/>
      </c>
    </row>
    <row r="2979" spans="6:18" x14ac:dyDescent="0.3">
      <c r="F2979" t="str">
        <f>IF(A2979="","",4*AVERAGE($E$7:E2979))</f>
        <v/>
      </c>
      <c r="R2979" t="str">
        <f>IF(L2979="","",6*AVERAGE($Q$7:Q2979))</f>
        <v/>
      </c>
    </row>
    <row r="2980" spans="6:18" x14ac:dyDescent="0.3">
      <c r="F2980" t="str">
        <f>IF(A2980="","",4*AVERAGE($E$7:E2980))</f>
        <v/>
      </c>
      <c r="R2980" t="str">
        <f>IF(L2980="","",6*AVERAGE($Q$7:Q2980))</f>
        <v/>
      </c>
    </row>
    <row r="2981" spans="6:18" x14ac:dyDescent="0.3">
      <c r="F2981" t="str">
        <f>IF(A2981="","",4*AVERAGE($E$7:E2981))</f>
        <v/>
      </c>
      <c r="R2981" t="str">
        <f>IF(L2981="","",6*AVERAGE($Q$7:Q2981))</f>
        <v/>
      </c>
    </row>
    <row r="2982" spans="6:18" x14ac:dyDescent="0.3">
      <c r="F2982" t="str">
        <f>IF(A2982="","",4*AVERAGE($E$7:E2982))</f>
        <v/>
      </c>
      <c r="R2982" t="str">
        <f>IF(L2982="","",6*AVERAGE($Q$7:Q2982))</f>
        <v/>
      </c>
    </row>
    <row r="2983" spans="6:18" x14ac:dyDescent="0.3">
      <c r="F2983" t="str">
        <f>IF(A2983="","",4*AVERAGE($E$7:E2983))</f>
        <v/>
      </c>
      <c r="R2983" t="str">
        <f>IF(L2983="","",6*AVERAGE($Q$7:Q2983))</f>
        <v/>
      </c>
    </row>
    <row r="2984" spans="6:18" x14ac:dyDescent="0.3">
      <c r="F2984" t="str">
        <f>IF(A2984="","",4*AVERAGE($E$7:E2984))</f>
        <v/>
      </c>
      <c r="R2984" t="str">
        <f>IF(L2984="","",6*AVERAGE($Q$7:Q2984))</f>
        <v/>
      </c>
    </row>
    <row r="2985" spans="6:18" x14ac:dyDescent="0.3">
      <c r="F2985" t="str">
        <f>IF(A2985="","",4*AVERAGE($E$7:E2985))</f>
        <v/>
      </c>
      <c r="R2985" t="str">
        <f>IF(L2985="","",6*AVERAGE($Q$7:Q2985))</f>
        <v/>
      </c>
    </row>
    <row r="2986" spans="6:18" x14ac:dyDescent="0.3">
      <c r="F2986" t="str">
        <f>IF(A2986="","",4*AVERAGE($E$7:E2986))</f>
        <v/>
      </c>
      <c r="R2986" t="str">
        <f>IF(L2986="","",6*AVERAGE($Q$7:Q2986))</f>
        <v/>
      </c>
    </row>
    <row r="2987" spans="6:18" x14ac:dyDescent="0.3">
      <c r="F2987" t="str">
        <f>IF(A2987="","",4*AVERAGE($E$7:E2987))</f>
        <v/>
      </c>
      <c r="R2987" t="str">
        <f>IF(L2987="","",6*AVERAGE($Q$7:Q2987))</f>
        <v/>
      </c>
    </row>
    <row r="2988" spans="6:18" x14ac:dyDescent="0.3">
      <c r="F2988" t="str">
        <f>IF(A2988="","",4*AVERAGE($E$7:E2988))</f>
        <v/>
      </c>
      <c r="R2988" t="str">
        <f>IF(L2988="","",6*AVERAGE($Q$7:Q2988))</f>
        <v/>
      </c>
    </row>
    <row r="2989" spans="6:18" x14ac:dyDescent="0.3">
      <c r="F2989" t="str">
        <f>IF(A2989="","",4*AVERAGE($E$7:E2989))</f>
        <v/>
      </c>
      <c r="R2989" t="str">
        <f>IF(L2989="","",6*AVERAGE($Q$7:Q2989))</f>
        <v/>
      </c>
    </row>
    <row r="2990" spans="6:18" x14ac:dyDescent="0.3">
      <c r="F2990" t="str">
        <f>IF(A2990="","",4*AVERAGE($E$7:E2990))</f>
        <v/>
      </c>
      <c r="R2990" t="str">
        <f>IF(L2990="","",6*AVERAGE($Q$7:Q2990))</f>
        <v/>
      </c>
    </row>
    <row r="2991" spans="6:18" x14ac:dyDescent="0.3">
      <c r="F2991" t="str">
        <f>IF(A2991="","",4*AVERAGE($E$7:E2991))</f>
        <v/>
      </c>
      <c r="R2991" t="str">
        <f>IF(L2991="","",6*AVERAGE($Q$7:Q2991))</f>
        <v/>
      </c>
    </row>
    <row r="2992" spans="6:18" x14ac:dyDescent="0.3">
      <c r="F2992" t="str">
        <f>IF(A2992="","",4*AVERAGE($E$7:E2992))</f>
        <v/>
      </c>
      <c r="R2992" t="str">
        <f>IF(L2992="","",6*AVERAGE($Q$7:Q2992))</f>
        <v/>
      </c>
    </row>
    <row r="2993" spans="6:18" x14ac:dyDescent="0.3">
      <c r="F2993" t="str">
        <f>IF(A2993="","",4*AVERAGE($E$7:E2993))</f>
        <v/>
      </c>
      <c r="R2993" t="str">
        <f>IF(L2993="","",6*AVERAGE($Q$7:Q2993))</f>
        <v/>
      </c>
    </row>
    <row r="2994" spans="6:18" x14ac:dyDescent="0.3">
      <c r="F2994" t="str">
        <f>IF(A2994="","",4*AVERAGE($E$7:E2994))</f>
        <v/>
      </c>
      <c r="R2994" t="str">
        <f>IF(L2994="","",6*AVERAGE($Q$7:Q2994))</f>
        <v/>
      </c>
    </row>
    <row r="2995" spans="6:18" x14ac:dyDescent="0.3">
      <c r="F2995" t="str">
        <f>IF(A2995="","",4*AVERAGE($E$7:E2995))</f>
        <v/>
      </c>
      <c r="R2995" t="str">
        <f>IF(L2995="","",6*AVERAGE($Q$7:Q2995))</f>
        <v/>
      </c>
    </row>
    <row r="2996" spans="6:18" x14ac:dyDescent="0.3">
      <c r="F2996" t="str">
        <f>IF(A2996="","",4*AVERAGE($E$7:E2996))</f>
        <v/>
      </c>
      <c r="R2996" t="str">
        <f>IF(L2996="","",6*AVERAGE($Q$7:Q2996))</f>
        <v/>
      </c>
    </row>
    <row r="2997" spans="6:18" x14ac:dyDescent="0.3">
      <c r="F2997" t="str">
        <f>IF(A2997="","",4*AVERAGE($E$7:E2997))</f>
        <v/>
      </c>
      <c r="R2997" t="str">
        <f>IF(L2997="","",6*AVERAGE($Q$7:Q2997))</f>
        <v/>
      </c>
    </row>
    <row r="2998" spans="6:18" x14ac:dyDescent="0.3">
      <c r="F2998" t="str">
        <f>IF(A2998="","",4*AVERAGE($E$7:E2998))</f>
        <v/>
      </c>
      <c r="R2998" t="str">
        <f>IF(L2998="","",6*AVERAGE($Q$7:Q2998))</f>
        <v/>
      </c>
    </row>
    <row r="2999" spans="6:18" x14ac:dyDescent="0.3">
      <c r="F2999" t="str">
        <f>IF(A2999="","",4*AVERAGE($E$7:E2999))</f>
        <v/>
      </c>
      <c r="R2999" t="str">
        <f>IF(L2999="","",6*AVERAGE($Q$7:Q2999))</f>
        <v/>
      </c>
    </row>
    <row r="3000" spans="6:18" x14ac:dyDescent="0.3">
      <c r="F3000" t="str">
        <f>IF(A3000="","",4*AVERAGE($E$7:E3000))</f>
        <v/>
      </c>
      <c r="R3000" t="str">
        <f>IF(L3000="","",6*AVERAGE($Q$7:Q3000))</f>
        <v/>
      </c>
    </row>
    <row r="3001" spans="6:18" x14ac:dyDescent="0.3">
      <c r="F3001" t="str">
        <f>IF(A3001="","",4*AVERAGE($E$7:E3001))</f>
        <v/>
      </c>
      <c r="R3001" t="str">
        <f>IF(L3001="","",6*AVERAGE($Q$7:Q3001))</f>
        <v/>
      </c>
    </row>
    <row r="3002" spans="6:18" x14ac:dyDescent="0.3">
      <c r="F3002" t="str">
        <f>IF(A3002="","",4*AVERAGE($E$7:E3002))</f>
        <v/>
      </c>
      <c r="R3002" t="str">
        <f>IF(L3002="","",6*AVERAGE($Q$7:Q3002))</f>
        <v/>
      </c>
    </row>
    <row r="3003" spans="6:18" x14ac:dyDescent="0.3">
      <c r="F3003" t="str">
        <f>IF(A3003="","",4*AVERAGE($E$7:E3003))</f>
        <v/>
      </c>
      <c r="R3003" t="str">
        <f>IF(L3003="","",6*AVERAGE($Q$7:Q3003))</f>
        <v/>
      </c>
    </row>
    <row r="3004" spans="6:18" x14ac:dyDescent="0.3">
      <c r="F3004" t="str">
        <f>IF(A3004="","",4*AVERAGE($E$7:E3004))</f>
        <v/>
      </c>
      <c r="R3004" t="str">
        <f>IF(L3004="","",6*AVERAGE($Q$7:Q3004))</f>
        <v/>
      </c>
    </row>
    <row r="3005" spans="6:18" x14ac:dyDescent="0.3">
      <c r="F3005" t="str">
        <f>IF(A3005="","",4*AVERAGE($E$7:E3005))</f>
        <v/>
      </c>
      <c r="R3005" t="str">
        <f>IF(L3005="","",6*AVERAGE($Q$7:Q3005))</f>
        <v/>
      </c>
    </row>
    <row r="3006" spans="6:18" x14ac:dyDescent="0.3">
      <c r="F3006" t="str">
        <f>IF(A3006="","",4*AVERAGE($E$7:E3006))</f>
        <v/>
      </c>
      <c r="R3006" t="str">
        <f>IF(L3006="","",6*AVERAGE($Q$7:Q3006))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topLeftCell="A11" workbookViewId="0">
      <selection activeCell="J3" sqref="J3"/>
    </sheetView>
  </sheetViews>
  <sheetFormatPr defaultRowHeight="14.4" x14ac:dyDescent="0.3"/>
  <cols>
    <col min="1" max="1" width="12.44140625" customWidth="1"/>
    <col min="2" max="2" width="17.77734375" customWidth="1"/>
    <col min="5" max="5" width="10.44140625" customWidth="1"/>
    <col min="6" max="6" width="13.88671875" customWidth="1"/>
    <col min="8" max="8" width="16.5546875" customWidth="1"/>
    <col min="9" max="9" width="17.88671875" customWidth="1"/>
    <col min="10" max="10" width="17.21875" customWidth="1"/>
    <col min="13" max="13" width="40.77734375" customWidth="1"/>
    <col min="16" max="16" width="20.77734375" customWidth="1"/>
  </cols>
  <sheetData>
    <row r="1" spans="1:11" x14ac:dyDescent="0.3">
      <c r="A1" s="2"/>
      <c r="H1" s="2" t="s">
        <v>53</v>
      </c>
      <c r="I1" s="2">
        <v>2005076</v>
      </c>
    </row>
    <row r="3" spans="1:11" x14ac:dyDescent="0.3">
      <c r="A3" s="2"/>
      <c r="B3" t="s">
        <v>33</v>
      </c>
      <c r="E3" t="s">
        <v>50</v>
      </c>
      <c r="F3">
        <v>100</v>
      </c>
    </row>
    <row r="5" spans="1:11" x14ac:dyDescent="0.3">
      <c r="E5" s="2" t="s">
        <v>34</v>
      </c>
      <c r="F5" s="2" t="s">
        <v>35</v>
      </c>
    </row>
    <row r="6" spans="1:11" x14ac:dyDescent="0.3">
      <c r="E6">
        <v>1</v>
      </c>
      <c r="F6">
        <v>10</v>
      </c>
    </row>
    <row r="7" spans="1:11" x14ac:dyDescent="0.3">
      <c r="E7">
        <v>2</v>
      </c>
      <c r="F7">
        <v>8</v>
      </c>
    </row>
    <row r="8" spans="1:11" x14ac:dyDescent="0.3">
      <c r="E8">
        <v>3</v>
      </c>
      <c r="F8">
        <v>7</v>
      </c>
    </row>
    <row r="9" spans="1:11" x14ac:dyDescent="0.3">
      <c r="E9">
        <v>4</v>
      </c>
      <c r="F9">
        <v>5</v>
      </c>
    </row>
    <row r="10" spans="1:11" x14ac:dyDescent="0.3">
      <c r="E10">
        <v>5</v>
      </c>
      <c r="F10">
        <v>6</v>
      </c>
    </row>
    <row r="13" spans="1:11" x14ac:dyDescent="0.3">
      <c r="A13" s="2" t="s">
        <v>11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40</v>
      </c>
      <c r="G13" s="2" t="s">
        <v>41</v>
      </c>
      <c r="H13" s="2" t="s">
        <v>42</v>
      </c>
      <c r="I13" s="2" t="s">
        <v>57</v>
      </c>
      <c r="J13" s="2" t="s">
        <v>43</v>
      </c>
      <c r="K13" s="2" t="s">
        <v>44</v>
      </c>
    </row>
    <row r="14" spans="1:11" x14ac:dyDescent="0.3">
      <c r="A14" cm="1">
        <f t="array" ref="A14:A113">_xlfn.SEQUENCE($F$3)</f>
        <v>1</v>
      </c>
      <c r="B14" cm="1">
        <f t="array" aca="1" ref="B14:B113" ca="1">-$F$6*LN(_xlfn.RANDARRAY($F$3,1))</f>
        <v>51.718438103973121</v>
      </c>
      <c r="C14" cm="1">
        <f t="array" aca="1" ref="C14:C113" ca="1">-$F$7*LN(_xlfn.RANDARRAY($F$3,1))</f>
        <v>2.9096448324984614</v>
      </c>
      <c r="D14" cm="1">
        <f t="array" aca="1" ref="D14:D113" ca="1">-$F$8*LN(_xlfn.RANDARRAY($F$3,1))</f>
        <v>4.2393767524454589</v>
      </c>
      <c r="E14" cm="1">
        <f t="array" aca="1" ref="E14:E113" ca="1">-$F$9*LN(_xlfn.RANDARRAY($F$3,1))</f>
        <v>2.1086215342445231</v>
      </c>
      <c r="F14" cm="1">
        <f t="array" aca="1" ref="F14:F113" ca="1">-$F$10*LN(_xlfn.RANDARRAY($F$3,1))</f>
        <v>1.2713625773220512</v>
      </c>
      <c r="G14" cm="1">
        <f t="array" aca="1" ref="G14:G113" ca="1">IF(_xlfn.ANCHORARRAY(A14)="","",IF(_xlfn.ANCHORARRAY(D14)&gt;_xlfn.ANCHORARRAY(E14),_xlfn.ANCHORARRAY(D14),_xlfn.ANCHORARRAY(E14)))</f>
        <v>4.2393767524454589</v>
      </c>
      <c r="H14" cm="1">
        <f t="array" aca="1" ref="H14:H113" ca="1">IF(_xlfn.ANCHORARRAY(A14)="","",IF(_xlfn.ANCHORARRAY(C14)&lt;_xlfn.ANCHORARRAY(G14),_xlfn.ANCHORARRAY(C14),_xlfn.ANCHORARRAY(G14)))</f>
        <v>2.9096448324984614</v>
      </c>
      <c r="I14" cm="1">
        <f t="array" aca="1" ref="I14:I113" ca="1">IF(_xlfn.ANCHORARRAY(A14)="","",IF(_xlfn.ANCHORARRAY(B14)&gt;_xlfn.ANCHORARRAY(H14),_xlfn.ANCHORARRAY(B14),_xlfn.ANCHORARRAY(H14)))</f>
        <v>51.718438103973121</v>
      </c>
      <c r="J14" cm="1">
        <f t="array" aca="1" ref="J14:J113" ca="1">IF(_xlfn.ANCHORARRAY(A14)="","",IF(_xlfn.ANCHORARRAY(I14)&lt;_xlfn.ANCHORARRAY(F14),_xlfn.ANCHORARRAY(I14),_xlfn.ANCHORARRAY(F14)))</f>
        <v>1.2713625773220512</v>
      </c>
      <c r="K14" cm="1">
        <f t="array" aca="1" ref="K14:K113" ca="1">--(_xlfn.ANCHORARRAY(J14)&gt;=7)</f>
        <v>0</v>
      </c>
    </row>
    <row r="15" spans="1:11" x14ac:dyDescent="0.3">
      <c r="A15">
        <v>2</v>
      </c>
      <c r="B15">
        <f ca="1"/>
        <v>8.3405744205922758</v>
      </c>
      <c r="C15">
        <f ca="1"/>
        <v>3.5668619551614755</v>
      </c>
      <c r="D15">
        <f ca="1"/>
        <v>2.440095172777367</v>
      </c>
      <c r="E15">
        <f ca="1"/>
        <v>3.2164558679937096</v>
      </c>
      <c r="F15">
        <f ca="1"/>
        <v>4.3176964291587243</v>
      </c>
      <c r="G15">
        <f ca="1"/>
        <v>3.2164558679937096</v>
      </c>
      <c r="H15">
        <f ca="1"/>
        <v>3.2164558679937096</v>
      </c>
      <c r="I15">
        <f ca="1"/>
        <v>8.3405744205922758</v>
      </c>
      <c r="J15">
        <f ca="1"/>
        <v>4.3176964291587243</v>
      </c>
      <c r="K15">
        <f ca="1"/>
        <v>0</v>
      </c>
    </row>
    <row r="16" spans="1:11" x14ac:dyDescent="0.3">
      <c r="A16">
        <v>3</v>
      </c>
      <c r="B16">
        <f ca="1"/>
        <v>6.160336264505788</v>
      </c>
      <c r="C16">
        <f ca="1"/>
        <v>19.903224892346689</v>
      </c>
      <c r="D16">
        <f ca="1"/>
        <v>6.3003758891775554</v>
      </c>
      <c r="E16">
        <f ca="1"/>
        <v>0.76060106376647119</v>
      </c>
      <c r="F16">
        <f ca="1"/>
        <v>8.871258771337498</v>
      </c>
      <c r="G16">
        <f ca="1"/>
        <v>6.3003758891775554</v>
      </c>
      <c r="H16">
        <f ca="1"/>
        <v>6.3003758891775554</v>
      </c>
      <c r="I16">
        <f ca="1"/>
        <v>6.3003758891775554</v>
      </c>
      <c r="J16">
        <f ca="1"/>
        <v>6.3003758891775554</v>
      </c>
      <c r="K16">
        <f ca="1"/>
        <v>0</v>
      </c>
    </row>
    <row r="17" spans="1:14" x14ac:dyDescent="0.3">
      <c r="A17">
        <v>4</v>
      </c>
      <c r="B17">
        <f ca="1"/>
        <v>21.174893621083818</v>
      </c>
      <c r="C17">
        <f ca="1"/>
        <v>6.1066186398398399</v>
      </c>
      <c r="D17">
        <f ca="1"/>
        <v>2.1039481064762064</v>
      </c>
      <c r="E17">
        <f ca="1"/>
        <v>0.81575274086251581</v>
      </c>
      <c r="F17">
        <f ca="1"/>
        <v>5.1744410028222152</v>
      </c>
      <c r="G17">
        <f ca="1"/>
        <v>2.1039481064762064</v>
      </c>
      <c r="H17">
        <f ca="1"/>
        <v>2.1039481064762064</v>
      </c>
      <c r="I17">
        <f ca="1"/>
        <v>21.174893621083818</v>
      </c>
      <c r="J17">
        <f ca="1"/>
        <v>5.1744410028222152</v>
      </c>
      <c r="K17">
        <f ca="1"/>
        <v>0</v>
      </c>
    </row>
    <row r="18" spans="1:14" x14ac:dyDescent="0.3">
      <c r="A18">
        <v>5</v>
      </c>
      <c r="B18">
        <f ca="1"/>
        <v>16.853269060193313</v>
      </c>
      <c r="C18">
        <f ca="1"/>
        <v>1.0275632656774041</v>
      </c>
      <c r="D18">
        <f ca="1"/>
        <v>1.3889409646159228</v>
      </c>
      <c r="E18">
        <f ca="1"/>
        <v>2.1355728300620447</v>
      </c>
      <c r="F18">
        <f ca="1"/>
        <v>2.6189779047664956</v>
      </c>
      <c r="G18">
        <f ca="1"/>
        <v>2.1355728300620447</v>
      </c>
      <c r="H18">
        <f ca="1"/>
        <v>1.0275632656774041</v>
      </c>
      <c r="I18">
        <f ca="1"/>
        <v>16.853269060193313</v>
      </c>
      <c r="J18">
        <f ca="1"/>
        <v>2.6189779047664956</v>
      </c>
      <c r="K18">
        <f ca="1"/>
        <v>0</v>
      </c>
    </row>
    <row r="19" spans="1:14" x14ac:dyDescent="0.3">
      <c r="A19">
        <v>6</v>
      </c>
      <c r="B19">
        <f ca="1"/>
        <v>3.7853720566130429</v>
      </c>
      <c r="C19">
        <f ca="1"/>
        <v>1.0121710133161796</v>
      </c>
      <c r="D19">
        <f ca="1"/>
        <v>2.2165615138373984</v>
      </c>
      <c r="E19">
        <f ca="1"/>
        <v>1.9749554484193617</v>
      </c>
      <c r="F19">
        <f ca="1"/>
        <v>0.79871148772001876</v>
      </c>
      <c r="G19">
        <f ca="1"/>
        <v>2.2165615138373984</v>
      </c>
      <c r="H19">
        <f ca="1"/>
        <v>1.0121710133161796</v>
      </c>
      <c r="I19">
        <f ca="1"/>
        <v>3.7853720566130429</v>
      </c>
      <c r="J19">
        <f ca="1"/>
        <v>0.79871148772001876</v>
      </c>
      <c r="K19">
        <f ca="1"/>
        <v>0</v>
      </c>
    </row>
    <row r="20" spans="1:14" x14ac:dyDescent="0.3">
      <c r="A20">
        <v>7</v>
      </c>
      <c r="B20">
        <f ca="1"/>
        <v>2.0364360121206539</v>
      </c>
      <c r="C20">
        <f ca="1"/>
        <v>4.0086908093335776</v>
      </c>
      <c r="D20">
        <f ca="1"/>
        <v>1.0658857994656625</v>
      </c>
      <c r="E20">
        <f ca="1"/>
        <v>18.852353721931912</v>
      </c>
      <c r="F20">
        <f ca="1"/>
        <v>12.283465085066418</v>
      </c>
      <c r="G20">
        <f ca="1"/>
        <v>18.852353721931912</v>
      </c>
      <c r="H20">
        <f ca="1"/>
        <v>4.0086908093335776</v>
      </c>
      <c r="I20">
        <f ca="1"/>
        <v>4.0086908093335776</v>
      </c>
      <c r="J20">
        <f ca="1"/>
        <v>4.0086908093335776</v>
      </c>
      <c r="K20">
        <f ca="1"/>
        <v>0</v>
      </c>
    </row>
    <row r="21" spans="1:14" x14ac:dyDescent="0.3">
      <c r="A21">
        <v>8</v>
      </c>
      <c r="B21">
        <f ca="1"/>
        <v>4.5823454528310092</v>
      </c>
      <c r="C21">
        <f ca="1"/>
        <v>3.9579100568504351</v>
      </c>
      <c r="D21">
        <f ca="1"/>
        <v>0.84952525729335937</v>
      </c>
      <c r="E21">
        <f ca="1"/>
        <v>3.4910996969847563</v>
      </c>
      <c r="F21">
        <f ca="1"/>
        <v>3.4337113210724022</v>
      </c>
      <c r="G21">
        <f ca="1"/>
        <v>3.4910996969847563</v>
      </c>
      <c r="H21">
        <f ca="1"/>
        <v>3.4910996969847563</v>
      </c>
      <c r="I21">
        <f ca="1"/>
        <v>4.5823454528310092</v>
      </c>
      <c r="J21">
        <f ca="1"/>
        <v>3.4337113210724022</v>
      </c>
      <c r="K21">
        <f ca="1"/>
        <v>0</v>
      </c>
    </row>
    <row r="22" spans="1:14" x14ac:dyDescent="0.3">
      <c r="A22">
        <v>9</v>
      </c>
      <c r="B22">
        <f ca="1"/>
        <v>30.971088555716779</v>
      </c>
      <c r="C22">
        <f ca="1"/>
        <v>3.8632400867383265</v>
      </c>
      <c r="D22">
        <f ca="1"/>
        <v>8.078716921595186</v>
      </c>
      <c r="E22">
        <f ca="1"/>
        <v>10.736181921846665</v>
      </c>
      <c r="F22">
        <f ca="1"/>
        <v>0.56723861310678036</v>
      </c>
      <c r="G22">
        <f ca="1"/>
        <v>10.736181921846665</v>
      </c>
      <c r="H22">
        <f ca="1"/>
        <v>3.8632400867383265</v>
      </c>
      <c r="I22">
        <f ca="1"/>
        <v>30.971088555716779</v>
      </c>
      <c r="J22">
        <f ca="1"/>
        <v>0.56723861310678036</v>
      </c>
      <c r="K22">
        <f ca="1"/>
        <v>0</v>
      </c>
    </row>
    <row r="23" spans="1:14" x14ac:dyDescent="0.3">
      <c r="A23">
        <v>10</v>
      </c>
      <c r="B23">
        <f ca="1"/>
        <v>1.4469932324291976</v>
      </c>
      <c r="C23">
        <f ca="1"/>
        <v>1.9041460973111544</v>
      </c>
      <c r="D23">
        <f ca="1"/>
        <v>1.7271233894610114</v>
      </c>
      <c r="E23">
        <f ca="1"/>
        <v>0.64934833175756723</v>
      </c>
      <c r="F23">
        <f ca="1"/>
        <v>14.703420526631636</v>
      </c>
      <c r="G23">
        <f ca="1"/>
        <v>1.7271233894610114</v>
      </c>
      <c r="H23">
        <f ca="1"/>
        <v>1.7271233894610114</v>
      </c>
      <c r="I23">
        <f ca="1"/>
        <v>1.7271233894610114</v>
      </c>
      <c r="J23">
        <f ca="1"/>
        <v>1.7271233894610114</v>
      </c>
      <c r="K23">
        <f ca="1"/>
        <v>0</v>
      </c>
      <c r="M23" s="2" t="s">
        <v>45</v>
      </c>
    </row>
    <row r="24" spans="1:14" x14ac:dyDescent="0.3">
      <c r="A24">
        <v>11</v>
      </c>
      <c r="B24">
        <f ca="1"/>
        <v>8.5651431244685732</v>
      </c>
      <c r="C24">
        <f ca="1"/>
        <v>9.6268085769663081</v>
      </c>
      <c r="D24">
        <f ca="1"/>
        <v>2.6957508241528241</v>
      </c>
      <c r="E24">
        <f ca="1"/>
        <v>0.64660056286450063</v>
      </c>
      <c r="F24">
        <f ca="1"/>
        <v>19.078487589136522</v>
      </c>
      <c r="G24">
        <f ca="1"/>
        <v>2.6957508241528241</v>
      </c>
      <c r="H24">
        <f ca="1"/>
        <v>2.6957508241528241</v>
      </c>
      <c r="I24">
        <f ca="1"/>
        <v>8.5651431244685732</v>
      </c>
      <c r="J24">
        <f ca="1"/>
        <v>8.5651431244685732</v>
      </c>
      <c r="K24">
        <f ca="1"/>
        <v>1</v>
      </c>
      <c r="M24" t="s">
        <v>18</v>
      </c>
      <c r="N24">
        <f>$F$3</f>
        <v>100</v>
      </c>
    </row>
    <row r="25" spans="1:14" x14ac:dyDescent="0.3">
      <c r="A25">
        <v>12</v>
      </c>
      <c r="B25">
        <f ca="1"/>
        <v>6.5495541422720542</v>
      </c>
      <c r="C25">
        <f ca="1"/>
        <v>1.5207449358903244</v>
      </c>
      <c r="D25">
        <f ca="1"/>
        <v>5.9908215540925678</v>
      </c>
      <c r="E25">
        <f ca="1"/>
        <v>0.47739016517367028</v>
      </c>
      <c r="F25">
        <f ca="1"/>
        <v>0.79955493912419218</v>
      </c>
      <c r="G25">
        <f ca="1"/>
        <v>5.9908215540925678</v>
      </c>
      <c r="H25">
        <f ca="1"/>
        <v>1.5207449358903244</v>
      </c>
      <c r="I25">
        <f ca="1"/>
        <v>6.5495541422720542</v>
      </c>
      <c r="J25">
        <f ca="1"/>
        <v>0.79955493912419218</v>
      </c>
      <c r="K25">
        <f ca="1"/>
        <v>0</v>
      </c>
      <c r="M25" t="s">
        <v>46</v>
      </c>
      <c r="N25">
        <f ca="1">AVERAGE(_xlfn.ANCHORARRAY(K14))</f>
        <v>0.17</v>
      </c>
    </row>
    <row r="26" spans="1:14" x14ac:dyDescent="0.3">
      <c r="A26">
        <v>13</v>
      </c>
      <c r="B26">
        <f ca="1"/>
        <v>8.1319500636895548</v>
      </c>
      <c r="C26">
        <f ca="1"/>
        <v>2.3163035660667552</v>
      </c>
      <c r="D26">
        <f ca="1"/>
        <v>2.5403909938954268</v>
      </c>
      <c r="E26">
        <f ca="1"/>
        <v>3.4484299719440585</v>
      </c>
      <c r="F26">
        <f ca="1"/>
        <v>2.1440006526785709</v>
      </c>
      <c r="G26">
        <f ca="1"/>
        <v>3.4484299719440585</v>
      </c>
      <c r="H26">
        <f ca="1"/>
        <v>2.3163035660667552</v>
      </c>
      <c r="I26">
        <f ca="1"/>
        <v>8.1319500636895548</v>
      </c>
      <c r="J26">
        <f ca="1"/>
        <v>2.1440006526785709</v>
      </c>
      <c r="K26">
        <f ca="1"/>
        <v>0</v>
      </c>
      <c r="M26" t="s">
        <v>20</v>
      </c>
      <c r="N26">
        <f ca="1">SQRT(N25*(1-N25)/N24)</f>
        <v>3.7563279941985897E-2</v>
      </c>
    </row>
    <row r="27" spans="1:14" x14ac:dyDescent="0.3">
      <c r="A27">
        <v>14</v>
      </c>
      <c r="B27">
        <f ca="1"/>
        <v>12.928109773143937</v>
      </c>
      <c r="C27">
        <f ca="1"/>
        <v>1.4287871065950826</v>
      </c>
      <c r="D27">
        <f ca="1"/>
        <v>10.51606192383314</v>
      </c>
      <c r="E27">
        <f ca="1"/>
        <v>3.1795483716963031</v>
      </c>
      <c r="F27">
        <f ca="1"/>
        <v>9.1311478090657019</v>
      </c>
      <c r="G27">
        <f ca="1"/>
        <v>10.51606192383314</v>
      </c>
      <c r="H27">
        <f ca="1"/>
        <v>1.4287871065950826</v>
      </c>
      <c r="I27">
        <f ca="1"/>
        <v>12.928109773143937</v>
      </c>
      <c r="J27">
        <f ca="1"/>
        <v>9.1311478090657019</v>
      </c>
      <c r="K27">
        <f ca="1"/>
        <v>1</v>
      </c>
      <c r="M27" t="s">
        <v>21</v>
      </c>
      <c r="N27">
        <f ca="1">1.96*N26</f>
        <v>7.362402868629235E-2</v>
      </c>
    </row>
    <row r="28" spans="1:14" x14ac:dyDescent="0.3">
      <c r="A28">
        <v>15</v>
      </c>
      <c r="B28">
        <f ca="1"/>
        <v>7.0662260022282037</v>
      </c>
      <c r="C28">
        <f ca="1"/>
        <v>1.8927848449226372</v>
      </c>
      <c r="D28">
        <f ca="1"/>
        <v>5.1962772424361265</v>
      </c>
      <c r="E28">
        <f ca="1"/>
        <v>1.6404964920967009</v>
      </c>
      <c r="F28">
        <f ca="1"/>
        <v>3.6733363683147902</v>
      </c>
      <c r="G28">
        <f ca="1"/>
        <v>5.1962772424361265</v>
      </c>
      <c r="H28">
        <f ca="1"/>
        <v>1.8927848449226372</v>
      </c>
      <c r="I28">
        <f ca="1"/>
        <v>7.0662260022282037</v>
      </c>
      <c r="J28">
        <f ca="1"/>
        <v>3.6733363683147902</v>
      </c>
      <c r="K28">
        <f ca="1"/>
        <v>0</v>
      </c>
      <c r="M28" t="s">
        <v>22</v>
      </c>
      <c r="N28">
        <f ca="1">N25-N27</f>
        <v>9.6375971313707662E-2</v>
      </c>
    </row>
    <row r="29" spans="1:14" x14ac:dyDescent="0.3">
      <c r="A29">
        <v>16</v>
      </c>
      <c r="B29">
        <f ca="1"/>
        <v>9.7903006506833457</v>
      </c>
      <c r="C29">
        <f ca="1"/>
        <v>5.4973570388513862</v>
      </c>
      <c r="D29">
        <f ca="1"/>
        <v>1.0286087022149142</v>
      </c>
      <c r="E29">
        <f ca="1"/>
        <v>0.70583829370534312</v>
      </c>
      <c r="F29">
        <f ca="1"/>
        <v>12.318211058472746</v>
      </c>
      <c r="G29">
        <f ca="1"/>
        <v>1.0286087022149142</v>
      </c>
      <c r="H29">
        <f ca="1"/>
        <v>1.0286087022149142</v>
      </c>
      <c r="I29">
        <f ca="1"/>
        <v>9.7903006506833457</v>
      </c>
      <c r="J29">
        <f ca="1"/>
        <v>9.7903006506833457</v>
      </c>
      <c r="K29">
        <f ca="1"/>
        <v>1</v>
      </c>
      <c r="M29" t="s">
        <v>23</v>
      </c>
      <c r="N29">
        <f ca="1">N25+N27</f>
        <v>0.24362402868629235</v>
      </c>
    </row>
    <row r="30" spans="1:14" x14ac:dyDescent="0.3">
      <c r="A30">
        <v>17</v>
      </c>
      <c r="B30">
        <f ca="1"/>
        <v>5.6145005927117753</v>
      </c>
      <c r="C30">
        <f ca="1"/>
        <v>3.2958847893935848</v>
      </c>
      <c r="D30">
        <f ca="1"/>
        <v>12.870973116107937</v>
      </c>
      <c r="E30">
        <f ca="1"/>
        <v>9.5464279345430718</v>
      </c>
      <c r="F30">
        <f ca="1"/>
        <v>0.65135849937866463</v>
      </c>
      <c r="G30">
        <f ca="1"/>
        <v>12.870973116107937</v>
      </c>
      <c r="H30">
        <f ca="1"/>
        <v>3.2958847893935848</v>
      </c>
      <c r="I30">
        <f ca="1"/>
        <v>5.6145005927117753</v>
      </c>
      <c r="J30">
        <f ca="1"/>
        <v>0.65135849937866463</v>
      </c>
      <c r="K30">
        <f ca="1"/>
        <v>0</v>
      </c>
      <c r="M30" t="s">
        <v>27</v>
      </c>
      <c r="N30">
        <f ca="1">ROUNDUP((1.96^2)*N25*(1-N25)/(0.01^2),0)</f>
        <v>5421</v>
      </c>
    </row>
    <row r="31" spans="1:14" x14ac:dyDescent="0.3">
      <c r="A31">
        <v>18</v>
      </c>
      <c r="B31">
        <f ca="1"/>
        <v>6.5782036243058783</v>
      </c>
      <c r="C31">
        <f ca="1"/>
        <v>27.538264694146083</v>
      </c>
      <c r="D31">
        <f ca="1"/>
        <v>8.4734855670695257</v>
      </c>
      <c r="E31">
        <f ca="1"/>
        <v>4.4285940607348033</v>
      </c>
      <c r="F31">
        <f ca="1"/>
        <v>2.9024369191829495</v>
      </c>
      <c r="G31">
        <f ca="1"/>
        <v>8.4734855670695257</v>
      </c>
      <c r="H31">
        <f ca="1"/>
        <v>8.4734855670695257</v>
      </c>
      <c r="I31">
        <f ca="1"/>
        <v>8.4734855670695257</v>
      </c>
      <c r="J31">
        <f ca="1"/>
        <v>2.9024369191829495</v>
      </c>
      <c r="K31">
        <f ca="1"/>
        <v>0</v>
      </c>
      <c r="M31" t="s">
        <v>28</v>
      </c>
      <c r="N31" t="str">
        <f ca="1">IF(N27&lt;=0.01,"Yes","No")</f>
        <v>No</v>
      </c>
    </row>
    <row r="32" spans="1:14" x14ac:dyDescent="0.3">
      <c r="A32">
        <v>19</v>
      </c>
      <c r="B32">
        <f ca="1"/>
        <v>0.92135448074154358</v>
      </c>
      <c r="C32">
        <f ca="1"/>
        <v>14.814086887707441</v>
      </c>
      <c r="D32">
        <f ca="1"/>
        <v>6.7287912040835813</v>
      </c>
      <c r="E32">
        <f ca="1"/>
        <v>0.55230514202939918</v>
      </c>
      <c r="F32">
        <f ca="1"/>
        <v>0.5639530112247515</v>
      </c>
      <c r="G32">
        <f ca="1"/>
        <v>6.7287912040835813</v>
      </c>
      <c r="H32">
        <f ca="1"/>
        <v>6.7287912040835813</v>
      </c>
      <c r="I32">
        <f ca="1"/>
        <v>6.7287912040835813</v>
      </c>
      <c r="J32">
        <f ca="1"/>
        <v>0.5639530112247515</v>
      </c>
      <c r="K32">
        <f ca="1"/>
        <v>0</v>
      </c>
    </row>
    <row r="33" spans="1:14" x14ac:dyDescent="0.3">
      <c r="A33">
        <v>20</v>
      </c>
      <c r="B33">
        <f ca="1"/>
        <v>8.2775273255116506</v>
      </c>
      <c r="C33">
        <f ca="1"/>
        <v>9.3020207049942378</v>
      </c>
      <c r="D33">
        <f ca="1"/>
        <v>26.96358453606593</v>
      </c>
      <c r="E33">
        <f ca="1"/>
        <v>8.1270403268263056</v>
      </c>
      <c r="F33">
        <f ca="1"/>
        <v>3.3275340970342375</v>
      </c>
      <c r="G33">
        <f ca="1"/>
        <v>26.96358453606593</v>
      </c>
      <c r="H33">
        <f ca="1"/>
        <v>9.3020207049942378</v>
      </c>
      <c r="I33">
        <f ca="1"/>
        <v>9.3020207049942378</v>
      </c>
      <c r="J33">
        <f ca="1"/>
        <v>3.3275340970342375</v>
      </c>
      <c r="K33">
        <f ca="1"/>
        <v>0</v>
      </c>
      <c r="M33" t="s">
        <v>47</v>
      </c>
    </row>
    <row r="34" spans="1:14" x14ac:dyDescent="0.3">
      <c r="A34">
        <v>21</v>
      </c>
      <c r="B34">
        <f ca="1"/>
        <v>2.3218250766681097</v>
      </c>
      <c r="C34">
        <f ca="1"/>
        <v>3.6872880764412126</v>
      </c>
      <c r="D34">
        <f ca="1"/>
        <v>0.66267518178748408</v>
      </c>
      <c r="E34">
        <f ca="1"/>
        <v>0.77953438538477127</v>
      </c>
      <c r="F34">
        <f ca="1"/>
        <v>0.74837076435122341</v>
      </c>
      <c r="G34">
        <f ca="1"/>
        <v>0.77953438538477127</v>
      </c>
      <c r="H34">
        <f ca="1"/>
        <v>0.77953438538477127</v>
      </c>
      <c r="I34">
        <f ca="1"/>
        <v>2.3218250766681097</v>
      </c>
      <c r="J34">
        <f ca="1"/>
        <v>0.74837076435122341</v>
      </c>
      <c r="K34">
        <f ca="1"/>
        <v>0</v>
      </c>
      <c r="M34" t="s">
        <v>32</v>
      </c>
      <c r="N34" t="s">
        <v>33</v>
      </c>
    </row>
    <row r="35" spans="1:14" x14ac:dyDescent="0.3">
      <c r="A35">
        <v>22</v>
      </c>
      <c r="B35">
        <f ca="1"/>
        <v>18.084877391259862</v>
      </c>
      <c r="C35">
        <f ca="1"/>
        <v>0.53951252624712287</v>
      </c>
      <c r="D35">
        <f ca="1"/>
        <v>4.2087746963855777</v>
      </c>
      <c r="E35">
        <f ca="1"/>
        <v>2.3618166398258293</v>
      </c>
      <c r="F35">
        <f ca="1"/>
        <v>10.40485838414711</v>
      </c>
      <c r="G35">
        <f ca="1"/>
        <v>4.2087746963855777</v>
      </c>
      <c r="H35">
        <f ca="1"/>
        <v>0.53951252624712287</v>
      </c>
      <c r="I35">
        <f ca="1"/>
        <v>18.084877391259862</v>
      </c>
      <c r="J35">
        <f ca="1"/>
        <v>10.40485838414711</v>
      </c>
      <c r="K35">
        <f ca="1"/>
        <v>1</v>
      </c>
      <c r="M35" t="s">
        <v>48</v>
      </c>
      <c r="N35">
        <f ca="1">N25</f>
        <v>0.17</v>
      </c>
    </row>
    <row r="36" spans="1:14" x14ac:dyDescent="0.3">
      <c r="A36">
        <v>23</v>
      </c>
      <c r="B36">
        <f ca="1"/>
        <v>10.37449440113952</v>
      </c>
      <c r="C36">
        <f ca="1"/>
        <v>0.71336687485504602</v>
      </c>
      <c r="D36">
        <f ca="1"/>
        <v>3.6047804706631399</v>
      </c>
      <c r="E36">
        <f ca="1"/>
        <v>2.5630752581645595</v>
      </c>
      <c r="F36">
        <f ca="1"/>
        <v>13.159091798645942</v>
      </c>
      <c r="G36">
        <f ca="1"/>
        <v>3.6047804706631399</v>
      </c>
      <c r="H36">
        <f ca="1"/>
        <v>0.71336687485504602</v>
      </c>
      <c r="I36">
        <f ca="1"/>
        <v>10.37449440113952</v>
      </c>
      <c r="J36">
        <f ca="1"/>
        <v>10.37449440113952</v>
      </c>
      <c r="K36">
        <f ca="1"/>
        <v>1</v>
      </c>
      <c r="M36" t="s">
        <v>49</v>
      </c>
      <c r="N36">
        <f ca="1">N30</f>
        <v>5421</v>
      </c>
    </row>
    <row r="37" spans="1:14" x14ac:dyDescent="0.3">
      <c r="A37">
        <v>24</v>
      </c>
      <c r="B37">
        <f ca="1"/>
        <v>4.328072662944912</v>
      </c>
      <c r="C37">
        <f ca="1"/>
        <v>5.6934605558255722</v>
      </c>
      <c r="D37">
        <f ca="1"/>
        <v>22.793035635462541</v>
      </c>
      <c r="E37">
        <f ca="1"/>
        <v>0.94335889909974857</v>
      </c>
      <c r="F37">
        <f ca="1"/>
        <v>10.87660799941453</v>
      </c>
      <c r="G37">
        <f ca="1"/>
        <v>22.793035635462541</v>
      </c>
      <c r="H37">
        <f ca="1"/>
        <v>5.6934605558255722</v>
      </c>
      <c r="I37">
        <f ca="1"/>
        <v>5.6934605558255722</v>
      </c>
      <c r="J37">
        <f ca="1"/>
        <v>5.6934605558255722</v>
      </c>
      <c r="K37">
        <f ca="1"/>
        <v>0</v>
      </c>
      <c r="M37" t="s">
        <v>55</v>
      </c>
      <c r="N37" t="str">
        <f ca="1">N31</f>
        <v>No</v>
      </c>
    </row>
    <row r="38" spans="1:14" x14ac:dyDescent="0.3">
      <c r="A38">
        <v>25</v>
      </c>
      <c r="B38">
        <f ca="1"/>
        <v>8.9321900191734436</v>
      </c>
      <c r="C38">
        <f ca="1"/>
        <v>2.6024584047625283</v>
      </c>
      <c r="D38">
        <f ca="1"/>
        <v>5.8725785921424345</v>
      </c>
      <c r="E38">
        <f ca="1"/>
        <v>2.7370780178566174</v>
      </c>
      <c r="F38">
        <f ca="1"/>
        <v>0.4116800302304191</v>
      </c>
      <c r="G38">
        <f ca="1"/>
        <v>5.8725785921424345</v>
      </c>
      <c r="H38">
        <f ca="1"/>
        <v>2.6024584047625283</v>
      </c>
      <c r="I38">
        <f ca="1"/>
        <v>8.9321900191734436</v>
      </c>
      <c r="J38">
        <f ca="1"/>
        <v>0.4116800302304191</v>
      </c>
      <c r="K38">
        <f ca="1"/>
        <v>0</v>
      </c>
    </row>
    <row r="39" spans="1:14" x14ac:dyDescent="0.3">
      <c r="A39">
        <v>26</v>
      </c>
      <c r="B39">
        <f ca="1"/>
        <v>14.826909031400831</v>
      </c>
      <c r="C39">
        <f ca="1"/>
        <v>13.795356766443236</v>
      </c>
      <c r="D39">
        <f ca="1"/>
        <v>8.2020479326578464</v>
      </c>
      <c r="E39">
        <f ca="1"/>
        <v>3.0783218076760231E-2</v>
      </c>
      <c r="F39">
        <f ca="1"/>
        <v>1.2486459653917921</v>
      </c>
      <c r="G39">
        <f ca="1"/>
        <v>8.2020479326578464</v>
      </c>
      <c r="H39">
        <f ca="1"/>
        <v>8.2020479326578464</v>
      </c>
      <c r="I39">
        <f ca="1"/>
        <v>14.826909031400831</v>
      </c>
      <c r="J39">
        <f ca="1"/>
        <v>1.2486459653917921</v>
      </c>
      <c r="K39">
        <f ca="1"/>
        <v>0</v>
      </c>
    </row>
    <row r="40" spans="1:14" x14ac:dyDescent="0.3">
      <c r="A40">
        <v>27</v>
      </c>
      <c r="B40">
        <f ca="1"/>
        <v>14.585635975161182</v>
      </c>
      <c r="C40">
        <f ca="1"/>
        <v>2.4815402457201166</v>
      </c>
      <c r="D40">
        <f ca="1"/>
        <v>15.575942084719323</v>
      </c>
      <c r="E40">
        <f ca="1"/>
        <v>0.60260182844190346</v>
      </c>
      <c r="F40">
        <f ca="1"/>
        <v>0.27769953594842739</v>
      </c>
      <c r="G40">
        <f ca="1"/>
        <v>15.575942084719323</v>
      </c>
      <c r="H40">
        <f ca="1"/>
        <v>2.4815402457201166</v>
      </c>
      <c r="I40">
        <f ca="1"/>
        <v>14.585635975161182</v>
      </c>
      <c r="J40">
        <f ca="1"/>
        <v>0.27769953594842739</v>
      </c>
      <c r="K40">
        <f ca="1"/>
        <v>0</v>
      </c>
      <c r="M40" t="s">
        <v>52</v>
      </c>
      <c r="N40">
        <f ca="1">ROUNDUP(4*N25*(1-N25)/(0.01^2),0)</f>
        <v>5644</v>
      </c>
    </row>
    <row r="41" spans="1:14" x14ac:dyDescent="0.3">
      <c r="A41">
        <v>28</v>
      </c>
      <c r="B41">
        <f ca="1"/>
        <v>10.516666860404062</v>
      </c>
      <c r="C41">
        <f ca="1"/>
        <v>1.9741758089395625</v>
      </c>
      <c r="D41">
        <f ca="1"/>
        <v>1.8798772682155021</v>
      </c>
      <c r="E41">
        <f ca="1"/>
        <v>1.2867070836496199</v>
      </c>
      <c r="F41">
        <f ca="1"/>
        <v>7.1435687376178416</v>
      </c>
      <c r="G41">
        <f ca="1"/>
        <v>1.8798772682155021</v>
      </c>
      <c r="H41">
        <f ca="1"/>
        <v>1.8798772682155021</v>
      </c>
      <c r="I41">
        <f ca="1"/>
        <v>10.516666860404062</v>
      </c>
      <c r="J41">
        <f ca="1"/>
        <v>7.1435687376178416</v>
      </c>
      <c r="K41">
        <f ca="1"/>
        <v>1</v>
      </c>
    </row>
    <row r="42" spans="1:14" x14ac:dyDescent="0.3">
      <c r="A42">
        <v>29</v>
      </c>
      <c r="B42">
        <f ca="1"/>
        <v>1.8480553048208848</v>
      </c>
      <c r="C42">
        <f ca="1"/>
        <v>5.4036078783275121</v>
      </c>
      <c r="D42">
        <f ca="1"/>
        <v>9.4835899461366431</v>
      </c>
      <c r="E42">
        <f ca="1"/>
        <v>0.46988834558721004</v>
      </c>
      <c r="F42">
        <f ca="1"/>
        <v>4.907995442281841</v>
      </c>
      <c r="G42">
        <f ca="1"/>
        <v>9.4835899461366431</v>
      </c>
      <c r="H42">
        <f ca="1"/>
        <v>5.4036078783275121</v>
      </c>
      <c r="I42">
        <f ca="1"/>
        <v>5.4036078783275121</v>
      </c>
      <c r="J42">
        <f ca="1"/>
        <v>4.907995442281841</v>
      </c>
      <c r="K42">
        <f ca="1"/>
        <v>0</v>
      </c>
    </row>
    <row r="43" spans="1:14" x14ac:dyDescent="0.3">
      <c r="A43">
        <v>30</v>
      </c>
      <c r="B43">
        <f ca="1"/>
        <v>7.9258094629909248</v>
      </c>
      <c r="C43">
        <f ca="1"/>
        <v>9.3061997256526059</v>
      </c>
      <c r="D43">
        <f ca="1"/>
        <v>16.872066010906487</v>
      </c>
      <c r="E43">
        <f ca="1"/>
        <v>5.4099040868240884</v>
      </c>
      <c r="F43">
        <f ca="1"/>
        <v>9.262277704520983</v>
      </c>
      <c r="G43">
        <f ca="1"/>
        <v>16.872066010906487</v>
      </c>
      <c r="H43">
        <f ca="1"/>
        <v>9.3061997256526059</v>
      </c>
      <c r="I43">
        <f ca="1"/>
        <v>9.3061997256526059</v>
      </c>
      <c r="J43">
        <f ca="1"/>
        <v>9.262277704520983</v>
      </c>
      <c r="K43">
        <f ca="1"/>
        <v>1</v>
      </c>
    </row>
    <row r="44" spans="1:14" x14ac:dyDescent="0.3">
      <c r="A44">
        <v>31</v>
      </c>
      <c r="B44">
        <f ca="1"/>
        <v>8.9976134351216093</v>
      </c>
      <c r="C44">
        <f ca="1"/>
        <v>6.7121976589692371</v>
      </c>
      <c r="D44">
        <f ca="1"/>
        <v>3.1515810190058939</v>
      </c>
      <c r="E44">
        <f ca="1"/>
        <v>9.358737911619194</v>
      </c>
      <c r="F44">
        <f ca="1"/>
        <v>2.0524064052791298</v>
      </c>
      <c r="G44">
        <f ca="1"/>
        <v>9.358737911619194</v>
      </c>
      <c r="H44">
        <f ca="1"/>
        <v>6.7121976589692371</v>
      </c>
      <c r="I44">
        <f ca="1"/>
        <v>8.9976134351216093</v>
      </c>
      <c r="J44">
        <f ca="1"/>
        <v>2.0524064052791298</v>
      </c>
      <c r="K44">
        <f ca="1"/>
        <v>0</v>
      </c>
    </row>
    <row r="45" spans="1:14" x14ac:dyDescent="0.3">
      <c r="A45">
        <v>32</v>
      </c>
      <c r="B45">
        <f ca="1"/>
        <v>18.161112503848155</v>
      </c>
      <c r="C45">
        <f ca="1"/>
        <v>4.3022440278383858</v>
      </c>
      <c r="D45">
        <f ca="1"/>
        <v>18.320521668462266</v>
      </c>
      <c r="E45">
        <f ca="1"/>
        <v>2.8281044009041696</v>
      </c>
      <c r="F45">
        <f ca="1"/>
        <v>11.802396624668068</v>
      </c>
      <c r="G45">
        <f ca="1"/>
        <v>18.320521668462266</v>
      </c>
      <c r="H45">
        <f ca="1"/>
        <v>4.3022440278383858</v>
      </c>
      <c r="I45">
        <f ca="1"/>
        <v>18.161112503848155</v>
      </c>
      <c r="J45">
        <f ca="1"/>
        <v>11.802396624668068</v>
      </c>
      <c r="K45">
        <f ca="1"/>
        <v>1</v>
      </c>
    </row>
    <row r="46" spans="1:14" x14ac:dyDescent="0.3">
      <c r="A46">
        <v>33</v>
      </c>
      <c r="B46">
        <f ca="1"/>
        <v>19.537199066508162</v>
      </c>
      <c r="C46">
        <f ca="1"/>
        <v>1.3701726270832086</v>
      </c>
      <c r="D46">
        <f ca="1"/>
        <v>6.2935139849228765</v>
      </c>
      <c r="E46">
        <f ca="1"/>
        <v>8.954871419550777</v>
      </c>
      <c r="F46">
        <f ca="1"/>
        <v>0.39354152575629631</v>
      </c>
      <c r="G46">
        <f ca="1"/>
        <v>8.954871419550777</v>
      </c>
      <c r="H46">
        <f ca="1"/>
        <v>1.3701726270832086</v>
      </c>
      <c r="I46">
        <f ca="1"/>
        <v>19.537199066508162</v>
      </c>
      <c r="J46">
        <f ca="1"/>
        <v>0.39354152575629631</v>
      </c>
      <c r="K46">
        <f ca="1"/>
        <v>0</v>
      </c>
    </row>
    <row r="47" spans="1:14" x14ac:dyDescent="0.3">
      <c r="A47">
        <v>34</v>
      </c>
      <c r="B47">
        <f ca="1"/>
        <v>0.44630170082530907</v>
      </c>
      <c r="C47">
        <f ca="1"/>
        <v>15.588838675440686</v>
      </c>
      <c r="D47">
        <f ca="1"/>
        <v>4.6477578160669912</v>
      </c>
      <c r="E47">
        <f ca="1"/>
        <v>2.0399124350488749</v>
      </c>
      <c r="F47">
        <f ca="1"/>
        <v>19.096974784423836</v>
      </c>
      <c r="G47">
        <f ca="1"/>
        <v>4.6477578160669912</v>
      </c>
      <c r="H47">
        <f ca="1"/>
        <v>4.6477578160669912</v>
      </c>
      <c r="I47">
        <f ca="1"/>
        <v>4.6477578160669912</v>
      </c>
      <c r="J47">
        <f ca="1"/>
        <v>4.6477578160669912</v>
      </c>
      <c r="K47">
        <f ca="1"/>
        <v>0</v>
      </c>
    </row>
    <row r="48" spans="1:14" x14ac:dyDescent="0.3">
      <c r="A48">
        <v>35</v>
      </c>
      <c r="B48">
        <f ca="1"/>
        <v>5.2137591926390421</v>
      </c>
      <c r="C48">
        <f ca="1"/>
        <v>14.496926897842881</v>
      </c>
      <c r="D48">
        <f ca="1"/>
        <v>2.5303785537630046</v>
      </c>
      <c r="E48">
        <f ca="1"/>
        <v>0.76274187583597564</v>
      </c>
      <c r="F48">
        <f ca="1"/>
        <v>2.8570249733160642</v>
      </c>
      <c r="G48">
        <f ca="1"/>
        <v>2.5303785537630046</v>
      </c>
      <c r="H48">
        <f ca="1"/>
        <v>2.5303785537630046</v>
      </c>
      <c r="I48">
        <f ca="1"/>
        <v>5.2137591926390421</v>
      </c>
      <c r="J48">
        <f ca="1"/>
        <v>2.8570249733160642</v>
      </c>
      <c r="K48">
        <f ca="1"/>
        <v>0</v>
      </c>
    </row>
    <row r="49" spans="1:11" x14ac:dyDescent="0.3">
      <c r="A49">
        <v>36</v>
      </c>
      <c r="B49">
        <f ca="1"/>
        <v>13.453874147385589</v>
      </c>
      <c r="C49">
        <f ca="1"/>
        <v>4.0743016578563722</v>
      </c>
      <c r="D49">
        <f ca="1"/>
        <v>10.501828142212954</v>
      </c>
      <c r="E49">
        <f ca="1"/>
        <v>2.4412090595601188</v>
      </c>
      <c r="F49">
        <f ca="1"/>
        <v>0.324071633101078</v>
      </c>
      <c r="G49">
        <f ca="1"/>
        <v>10.501828142212954</v>
      </c>
      <c r="H49">
        <f ca="1"/>
        <v>4.0743016578563722</v>
      </c>
      <c r="I49">
        <f ca="1"/>
        <v>13.453874147385589</v>
      </c>
      <c r="J49">
        <f ca="1"/>
        <v>0.324071633101078</v>
      </c>
      <c r="K49">
        <f ca="1"/>
        <v>0</v>
      </c>
    </row>
    <row r="50" spans="1:11" x14ac:dyDescent="0.3">
      <c r="A50">
        <v>37</v>
      </c>
      <c r="B50">
        <f ca="1"/>
        <v>0.12971659943298472</v>
      </c>
      <c r="C50">
        <f ca="1"/>
        <v>6.1873215222380882</v>
      </c>
      <c r="D50">
        <f ca="1"/>
        <v>10.078983143024189</v>
      </c>
      <c r="E50">
        <f ca="1"/>
        <v>0.71291199333613509</v>
      </c>
      <c r="F50">
        <f ca="1"/>
        <v>1.6108551561296092</v>
      </c>
      <c r="G50">
        <f ca="1"/>
        <v>10.078983143024189</v>
      </c>
      <c r="H50">
        <f ca="1"/>
        <v>6.1873215222380882</v>
      </c>
      <c r="I50">
        <f ca="1"/>
        <v>6.1873215222380882</v>
      </c>
      <c r="J50">
        <f ca="1"/>
        <v>1.6108551561296092</v>
      </c>
      <c r="K50">
        <f ca="1"/>
        <v>0</v>
      </c>
    </row>
    <row r="51" spans="1:11" x14ac:dyDescent="0.3">
      <c r="A51">
        <v>38</v>
      </c>
      <c r="B51">
        <f ca="1"/>
        <v>11.118851708038466</v>
      </c>
      <c r="C51">
        <f ca="1"/>
        <v>4.7225958039488347</v>
      </c>
      <c r="D51">
        <f ca="1"/>
        <v>5.6526232954733304</v>
      </c>
      <c r="E51">
        <f ca="1"/>
        <v>3.5530866581172789</v>
      </c>
      <c r="F51">
        <f ca="1"/>
        <v>6.5108066825407462</v>
      </c>
      <c r="G51">
        <f ca="1"/>
        <v>5.6526232954733304</v>
      </c>
      <c r="H51">
        <f ca="1"/>
        <v>4.7225958039488347</v>
      </c>
      <c r="I51">
        <f ca="1"/>
        <v>11.118851708038466</v>
      </c>
      <c r="J51">
        <f ca="1"/>
        <v>6.5108066825407462</v>
      </c>
      <c r="K51">
        <f ca="1"/>
        <v>0</v>
      </c>
    </row>
    <row r="52" spans="1:11" x14ac:dyDescent="0.3">
      <c r="A52">
        <v>39</v>
      </c>
      <c r="B52">
        <f ca="1"/>
        <v>4.8212658272423594</v>
      </c>
      <c r="C52">
        <f ca="1"/>
        <v>8.5395730497136446E-2</v>
      </c>
      <c r="D52">
        <f ca="1"/>
        <v>25.923207378059999</v>
      </c>
      <c r="E52">
        <f ca="1"/>
        <v>0.51450802244479921</v>
      </c>
      <c r="F52">
        <f ca="1"/>
        <v>4.4593023775399292</v>
      </c>
      <c r="G52">
        <f ca="1"/>
        <v>25.923207378059999</v>
      </c>
      <c r="H52">
        <f ca="1"/>
        <v>8.5395730497136446E-2</v>
      </c>
      <c r="I52">
        <f ca="1"/>
        <v>4.8212658272423594</v>
      </c>
      <c r="J52">
        <f ca="1"/>
        <v>4.4593023775399292</v>
      </c>
      <c r="K52">
        <f ca="1"/>
        <v>0</v>
      </c>
    </row>
    <row r="53" spans="1:11" x14ac:dyDescent="0.3">
      <c r="A53">
        <v>40</v>
      </c>
      <c r="B53">
        <f ca="1"/>
        <v>28.860849620828326</v>
      </c>
      <c r="C53">
        <f ca="1"/>
        <v>0.66496114768998726</v>
      </c>
      <c r="D53">
        <f ca="1"/>
        <v>10.14717022990879</v>
      </c>
      <c r="E53">
        <f ca="1"/>
        <v>7.8346118141960455</v>
      </c>
      <c r="F53">
        <f ca="1"/>
        <v>0.46676253554778113</v>
      </c>
      <c r="G53">
        <f ca="1"/>
        <v>10.14717022990879</v>
      </c>
      <c r="H53">
        <f ca="1"/>
        <v>0.66496114768998726</v>
      </c>
      <c r="I53">
        <f ca="1"/>
        <v>28.860849620828326</v>
      </c>
      <c r="J53">
        <f ca="1"/>
        <v>0.46676253554778113</v>
      </c>
      <c r="K53">
        <f ca="1"/>
        <v>0</v>
      </c>
    </row>
    <row r="54" spans="1:11" x14ac:dyDescent="0.3">
      <c r="A54">
        <v>41</v>
      </c>
      <c r="B54">
        <f ca="1"/>
        <v>8.571155696283288</v>
      </c>
      <c r="C54">
        <f ca="1"/>
        <v>14.998827670353572</v>
      </c>
      <c r="D54">
        <f ca="1"/>
        <v>10.682997130973584</v>
      </c>
      <c r="E54">
        <f ca="1"/>
        <v>1.4672656928663312</v>
      </c>
      <c r="F54">
        <f ca="1"/>
        <v>11.540768096277922</v>
      </c>
      <c r="G54">
        <f ca="1"/>
        <v>10.682997130973584</v>
      </c>
      <c r="H54">
        <f ca="1"/>
        <v>10.682997130973584</v>
      </c>
      <c r="I54">
        <f ca="1"/>
        <v>10.682997130973584</v>
      </c>
      <c r="J54">
        <f ca="1"/>
        <v>10.682997130973584</v>
      </c>
      <c r="K54">
        <f ca="1"/>
        <v>1</v>
      </c>
    </row>
    <row r="55" spans="1:11" x14ac:dyDescent="0.3">
      <c r="A55">
        <v>42</v>
      </c>
      <c r="B55">
        <f ca="1"/>
        <v>3.208254197659322</v>
      </c>
      <c r="C55">
        <f ca="1"/>
        <v>3.641842505840752</v>
      </c>
      <c r="D55">
        <f ca="1"/>
        <v>39.674853366990128</v>
      </c>
      <c r="E55">
        <f ca="1"/>
        <v>0.88733086338666622</v>
      </c>
      <c r="F55">
        <f ca="1"/>
        <v>2.8103134738321476</v>
      </c>
      <c r="G55">
        <f ca="1"/>
        <v>39.674853366990128</v>
      </c>
      <c r="H55">
        <f ca="1"/>
        <v>3.641842505840752</v>
      </c>
      <c r="I55">
        <f ca="1"/>
        <v>3.641842505840752</v>
      </c>
      <c r="J55">
        <f ca="1"/>
        <v>2.8103134738321476</v>
      </c>
      <c r="K55">
        <f ca="1"/>
        <v>0</v>
      </c>
    </row>
    <row r="56" spans="1:11" x14ac:dyDescent="0.3">
      <c r="A56">
        <v>43</v>
      </c>
      <c r="B56">
        <f ca="1"/>
        <v>10.909229983777717</v>
      </c>
      <c r="C56">
        <f ca="1"/>
        <v>4.8334871887339155</v>
      </c>
      <c r="D56">
        <f ca="1"/>
        <v>4.0738194830327661</v>
      </c>
      <c r="E56">
        <f ca="1"/>
        <v>6.799443807460146</v>
      </c>
      <c r="F56">
        <f ca="1"/>
        <v>4.6608767950308652</v>
      </c>
      <c r="G56">
        <f ca="1"/>
        <v>6.799443807460146</v>
      </c>
      <c r="H56">
        <f ca="1"/>
        <v>4.8334871887339155</v>
      </c>
      <c r="I56">
        <f ca="1"/>
        <v>10.909229983777717</v>
      </c>
      <c r="J56">
        <f ca="1"/>
        <v>4.6608767950308652</v>
      </c>
      <c r="K56">
        <f ca="1"/>
        <v>0</v>
      </c>
    </row>
    <row r="57" spans="1:11" x14ac:dyDescent="0.3">
      <c r="A57">
        <v>44</v>
      </c>
      <c r="B57">
        <f ca="1"/>
        <v>1.120284075207588</v>
      </c>
      <c r="C57">
        <f ca="1"/>
        <v>5.601588513050344</v>
      </c>
      <c r="D57">
        <f ca="1"/>
        <v>7.7726508642196439</v>
      </c>
      <c r="E57">
        <f ca="1"/>
        <v>1.6958935056647062</v>
      </c>
      <c r="F57">
        <f ca="1"/>
        <v>4.9687212488003478</v>
      </c>
      <c r="G57">
        <f ca="1"/>
        <v>7.7726508642196439</v>
      </c>
      <c r="H57">
        <f ca="1"/>
        <v>5.601588513050344</v>
      </c>
      <c r="I57">
        <f ca="1"/>
        <v>5.601588513050344</v>
      </c>
      <c r="J57">
        <f ca="1"/>
        <v>4.9687212488003478</v>
      </c>
      <c r="K57">
        <f ca="1"/>
        <v>0</v>
      </c>
    </row>
    <row r="58" spans="1:11" x14ac:dyDescent="0.3">
      <c r="A58">
        <v>45</v>
      </c>
      <c r="B58">
        <f ca="1"/>
        <v>7.8034422912521322</v>
      </c>
      <c r="C58">
        <f ca="1"/>
        <v>2.9124093531691915</v>
      </c>
      <c r="D58">
        <f ca="1"/>
        <v>6.7649309765707288</v>
      </c>
      <c r="E58">
        <f ca="1"/>
        <v>8.5445674331447705</v>
      </c>
      <c r="F58">
        <f ca="1"/>
        <v>1.2044390499933868</v>
      </c>
      <c r="G58">
        <f ca="1"/>
        <v>8.5445674331447705</v>
      </c>
      <c r="H58">
        <f ca="1"/>
        <v>2.9124093531691915</v>
      </c>
      <c r="I58">
        <f ca="1"/>
        <v>7.8034422912521322</v>
      </c>
      <c r="J58">
        <f ca="1"/>
        <v>1.2044390499933868</v>
      </c>
      <c r="K58">
        <f ca="1"/>
        <v>0</v>
      </c>
    </row>
    <row r="59" spans="1:11" x14ac:dyDescent="0.3">
      <c r="A59">
        <v>46</v>
      </c>
      <c r="B59">
        <f ca="1"/>
        <v>7.6184128170515795</v>
      </c>
      <c r="C59">
        <f ca="1"/>
        <v>7.3311245915562742</v>
      </c>
      <c r="D59">
        <f ca="1"/>
        <v>5.5672029172222626</v>
      </c>
      <c r="E59">
        <f ca="1"/>
        <v>9.838406840728247</v>
      </c>
      <c r="F59">
        <f ca="1"/>
        <v>6.1123561131437949</v>
      </c>
      <c r="G59">
        <f ca="1"/>
        <v>9.838406840728247</v>
      </c>
      <c r="H59">
        <f ca="1"/>
        <v>7.3311245915562742</v>
      </c>
      <c r="I59">
        <f ca="1"/>
        <v>7.6184128170515795</v>
      </c>
      <c r="J59">
        <f ca="1"/>
        <v>6.1123561131437949</v>
      </c>
      <c r="K59">
        <f ca="1"/>
        <v>0</v>
      </c>
    </row>
    <row r="60" spans="1:11" x14ac:dyDescent="0.3">
      <c r="A60">
        <v>47</v>
      </c>
      <c r="B60">
        <f ca="1"/>
        <v>19.584409075110216</v>
      </c>
      <c r="C60">
        <f ca="1"/>
        <v>3.7844981478780424</v>
      </c>
      <c r="D60">
        <f ca="1"/>
        <v>25.875399692336188</v>
      </c>
      <c r="E60">
        <f ca="1"/>
        <v>4.952440721666493</v>
      </c>
      <c r="F60">
        <f ca="1"/>
        <v>15.483139574592105</v>
      </c>
      <c r="G60">
        <f ca="1"/>
        <v>25.875399692336188</v>
      </c>
      <c r="H60">
        <f ca="1"/>
        <v>3.7844981478780424</v>
      </c>
      <c r="I60">
        <f ca="1"/>
        <v>19.584409075110216</v>
      </c>
      <c r="J60">
        <f ca="1"/>
        <v>15.483139574592105</v>
      </c>
      <c r="K60">
        <f ca="1"/>
        <v>1</v>
      </c>
    </row>
    <row r="61" spans="1:11" x14ac:dyDescent="0.3">
      <c r="A61">
        <v>48</v>
      </c>
      <c r="B61">
        <f ca="1"/>
        <v>3.4937222255613616</v>
      </c>
      <c r="C61">
        <f ca="1"/>
        <v>1.2761402886142976</v>
      </c>
      <c r="D61">
        <f ca="1"/>
        <v>2.3982739966184172</v>
      </c>
      <c r="E61">
        <f ca="1"/>
        <v>2.1376111433144134</v>
      </c>
      <c r="F61">
        <f ca="1"/>
        <v>12.820538934777321</v>
      </c>
      <c r="G61">
        <f ca="1"/>
        <v>2.3982739966184172</v>
      </c>
      <c r="H61">
        <f ca="1"/>
        <v>1.2761402886142976</v>
      </c>
      <c r="I61">
        <f ca="1"/>
        <v>3.4937222255613616</v>
      </c>
      <c r="J61">
        <f ca="1"/>
        <v>3.4937222255613616</v>
      </c>
      <c r="K61">
        <f ca="1"/>
        <v>0</v>
      </c>
    </row>
    <row r="62" spans="1:11" x14ac:dyDescent="0.3">
      <c r="A62">
        <v>49</v>
      </c>
      <c r="B62">
        <f ca="1"/>
        <v>5.537807764447761</v>
      </c>
      <c r="C62">
        <f ca="1"/>
        <v>0.84804775107711894</v>
      </c>
      <c r="D62">
        <f ca="1"/>
        <v>5.1083559761195039</v>
      </c>
      <c r="E62">
        <f ca="1"/>
        <v>14.404903806909646</v>
      </c>
      <c r="F62">
        <f ca="1"/>
        <v>8.4909359754271811</v>
      </c>
      <c r="G62">
        <f ca="1"/>
        <v>14.404903806909646</v>
      </c>
      <c r="H62">
        <f ca="1"/>
        <v>0.84804775107711894</v>
      </c>
      <c r="I62">
        <f ca="1"/>
        <v>5.537807764447761</v>
      </c>
      <c r="J62">
        <f ca="1"/>
        <v>5.537807764447761</v>
      </c>
      <c r="K62">
        <f ca="1"/>
        <v>0</v>
      </c>
    </row>
    <row r="63" spans="1:11" x14ac:dyDescent="0.3">
      <c r="A63">
        <v>50</v>
      </c>
      <c r="B63">
        <f ca="1"/>
        <v>5.2853050830896509</v>
      </c>
      <c r="C63">
        <f ca="1"/>
        <v>16.96228283811277</v>
      </c>
      <c r="D63">
        <f ca="1"/>
        <v>9.9452888520277742</v>
      </c>
      <c r="E63">
        <f ca="1"/>
        <v>1.5462956975580533</v>
      </c>
      <c r="F63">
        <f ca="1"/>
        <v>1.0488099992876581</v>
      </c>
      <c r="G63">
        <f ca="1"/>
        <v>9.9452888520277742</v>
      </c>
      <c r="H63">
        <f ca="1"/>
        <v>9.9452888520277742</v>
      </c>
      <c r="I63">
        <f ca="1"/>
        <v>9.9452888520277742</v>
      </c>
      <c r="J63">
        <f ca="1"/>
        <v>1.0488099992876581</v>
      </c>
      <c r="K63">
        <f ca="1"/>
        <v>0</v>
      </c>
    </row>
    <row r="64" spans="1:11" x14ac:dyDescent="0.3">
      <c r="A64">
        <v>51</v>
      </c>
      <c r="B64">
        <f ca="1"/>
        <v>3.2909407114765026</v>
      </c>
      <c r="C64">
        <f ca="1"/>
        <v>1.579280641428781</v>
      </c>
      <c r="D64">
        <f ca="1"/>
        <v>10.12278127998796</v>
      </c>
      <c r="E64">
        <f ca="1"/>
        <v>3.2026060350674368</v>
      </c>
      <c r="F64">
        <f ca="1"/>
        <v>3.8560750677595568</v>
      </c>
      <c r="G64">
        <f ca="1"/>
        <v>10.12278127998796</v>
      </c>
      <c r="H64">
        <f ca="1"/>
        <v>1.579280641428781</v>
      </c>
      <c r="I64">
        <f ca="1"/>
        <v>3.2909407114765026</v>
      </c>
      <c r="J64">
        <f ca="1"/>
        <v>3.2909407114765026</v>
      </c>
      <c r="K64">
        <f ca="1"/>
        <v>0</v>
      </c>
    </row>
    <row r="65" spans="1:11" x14ac:dyDescent="0.3">
      <c r="A65">
        <v>52</v>
      </c>
      <c r="B65">
        <f ca="1"/>
        <v>7.0714350080963069</v>
      </c>
      <c r="C65">
        <f ca="1"/>
        <v>33.00329204123917</v>
      </c>
      <c r="D65">
        <f ca="1"/>
        <v>15.081116276954035</v>
      </c>
      <c r="E65">
        <f ca="1"/>
        <v>0.45988094266788981</v>
      </c>
      <c r="F65">
        <f ca="1"/>
        <v>6.1431990649807195</v>
      </c>
      <c r="G65">
        <f ca="1"/>
        <v>15.081116276954035</v>
      </c>
      <c r="H65">
        <f ca="1"/>
        <v>15.081116276954035</v>
      </c>
      <c r="I65">
        <f ca="1"/>
        <v>15.081116276954035</v>
      </c>
      <c r="J65">
        <f ca="1"/>
        <v>6.1431990649807195</v>
      </c>
      <c r="K65">
        <f ca="1"/>
        <v>0</v>
      </c>
    </row>
    <row r="66" spans="1:11" x14ac:dyDescent="0.3">
      <c r="A66">
        <v>53</v>
      </c>
      <c r="B66">
        <f ca="1"/>
        <v>5.0739738414675699</v>
      </c>
      <c r="C66">
        <f ca="1"/>
        <v>1.8691402341193373</v>
      </c>
      <c r="D66">
        <f ca="1"/>
        <v>16.465681903655824</v>
      </c>
      <c r="E66">
        <f ca="1"/>
        <v>0.72797979506756527</v>
      </c>
      <c r="F66">
        <f ca="1"/>
        <v>7.4361245625667856</v>
      </c>
      <c r="G66">
        <f ca="1"/>
        <v>16.465681903655824</v>
      </c>
      <c r="H66">
        <f ca="1"/>
        <v>1.8691402341193373</v>
      </c>
      <c r="I66">
        <f ca="1"/>
        <v>5.0739738414675699</v>
      </c>
      <c r="J66">
        <f ca="1"/>
        <v>5.0739738414675699</v>
      </c>
      <c r="K66">
        <f ca="1"/>
        <v>0</v>
      </c>
    </row>
    <row r="67" spans="1:11" x14ac:dyDescent="0.3">
      <c r="A67">
        <v>54</v>
      </c>
      <c r="B67">
        <f ca="1"/>
        <v>1.2672092811143352</v>
      </c>
      <c r="C67">
        <f ca="1"/>
        <v>5.2994575062214926</v>
      </c>
      <c r="D67">
        <f ca="1"/>
        <v>2.7664548259468096</v>
      </c>
      <c r="E67">
        <f ca="1"/>
        <v>8.1382069332731639</v>
      </c>
      <c r="F67">
        <f ca="1"/>
        <v>1.4196657222808458</v>
      </c>
      <c r="G67">
        <f ca="1"/>
        <v>8.1382069332731639</v>
      </c>
      <c r="H67">
        <f ca="1"/>
        <v>5.2994575062214926</v>
      </c>
      <c r="I67">
        <f ca="1"/>
        <v>5.2994575062214926</v>
      </c>
      <c r="J67">
        <f ca="1"/>
        <v>1.4196657222808458</v>
      </c>
      <c r="K67">
        <f ca="1"/>
        <v>0</v>
      </c>
    </row>
    <row r="68" spans="1:11" x14ac:dyDescent="0.3">
      <c r="A68">
        <v>55</v>
      </c>
      <c r="B68">
        <f ca="1"/>
        <v>0.51432753743265003</v>
      </c>
      <c r="C68">
        <f ca="1"/>
        <v>2.3365519843264941</v>
      </c>
      <c r="D68">
        <f ca="1"/>
        <v>3.7963137637705122</v>
      </c>
      <c r="E68">
        <f ca="1"/>
        <v>3.3016306648225564</v>
      </c>
      <c r="F68">
        <f ca="1"/>
        <v>11.076067287347724</v>
      </c>
      <c r="G68">
        <f ca="1"/>
        <v>3.7963137637705122</v>
      </c>
      <c r="H68">
        <f ca="1"/>
        <v>2.3365519843264941</v>
      </c>
      <c r="I68">
        <f ca="1"/>
        <v>2.3365519843264941</v>
      </c>
      <c r="J68">
        <f ca="1"/>
        <v>2.3365519843264941</v>
      </c>
      <c r="K68">
        <f ca="1"/>
        <v>0</v>
      </c>
    </row>
    <row r="69" spans="1:11" x14ac:dyDescent="0.3">
      <c r="A69">
        <v>56</v>
      </c>
      <c r="B69">
        <f ca="1"/>
        <v>30.165905582295629</v>
      </c>
      <c r="C69">
        <f ca="1"/>
        <v>6.4837029704520246</v>
      </c>
      <c r="D69">
        <f ca="1"/>
        <v>9.4592371767086494</v>
      </c>
      <c r="E69">
        <f ca="1"/>
        <v>1.0191550021366784</v>
      </c>
      <c r="F69">
        <f ca="1"/>
        <v>2.2555894405105308</v>
      </c>
      <c r="G69">
        <f ca="1"/>
        <v>9.4592371767086494</v>
      </c>
      <c r="H69">
        <f ca="1"/>
        <v>6.4837029704520246</v>
      </c>
      <c r="I69">
        <f ca="1"/>
        <v>30.165905582295629</v>
      </c>
      <c r="J69">
        <f ca="1"/>
        <v>2.2555894405105308</v>
      </c>
      <c r="K69">
        <f ca="1"/>
        <v>0</v>
      </c>
    </row>
    <row r="70" spans="1:11" x14ac:dyDescent="0.3">
      <c r="A70">
        <v>57</v>
      </c>
      <c r="B70">
        <f ca="1"/>
        <v>26.343526226728923</v>
      </c>
      <c r="C70">
        <f ca="1"/>
        <v>9.8368631743995518</v>
      </c>
      <c r="D70">
        <f ca="1"/>
        <v>3.6809564001372168</v>
      </c>
      <c r="E70">
        <f ca="1"/>
        <v>4.2209092589598827</v>
      </c>
      <c r="F70">
        <f ca="1"/>
        <v>0.3607997158890402</v>
      </c>
      <c r="G70">
        <f ca="1"/>
        <v>4.2209092589598827</v>
      </c>
      <c r="H70">
        <f ca="1"/>
        <v>4.2209092589598827</v>
      </c>
      <c r="I70">
        <f ca="1"/>
        <v>26.343526226728923</v>
      </c>
      <c r="J70">
        <f ca="1"/>
        <v>0.3607997158890402</v>
      </c>
      <c r="K70">
        <f ca="1"/>
        <v>0</v>
      </c>
    </row>
    <row r="71" spans="1:11" x14ac:dyDescent="0.3">
      <c r="A71">
        <v>58</v>
      </c>
      <c r="B71">
        <f ca="1"/>
        <v>7.1574269086711553</v>
      </c>
      <c r="C71">
        <f ca="1"/>
        <v>2.9767452190679471</v>
      </c>
      <c r="D71">
        <f ca="1"/>
        <v>0.84881571157160041</v>
      </c>
      <c r="E71">
        <f ca="1"/>
        <v>3.0733212279051232</v>
      </c>
      <c r="F71">
        <f ca="1"/>
        <v>14.546089407978688</v>
      </c>
      <c r="G71">
        <f ca="1"/>
        <v>3.0733212279051232</v>
      </c>
      <c r="H71">
        <f ca="1"/>
        <v>2.9767452190679471</v>
      </c>
      <c r="I71">
        <f ca="1"/>
        <v>7.1574269086711553</v>
      </c>
      <c r="J71">
        <f ca="1"/>
        <v>7.1574269086711553</v>
      </c>
      <c r="K71">
        <f ca="1"/>
        <v>1</v>
      </c>
    </row>
    <row r="72" spans="1:11" x14ac:dyDescent="0.3">
      <c r="A72">
        <v>59</v>
      </c>
      <c r="B72">
        <f ca="1"/>
        <v>4.554583214314067</v>
      </c>
      <c r="C72">
        <f ca="1"/>
        <v>6.0789227951438241</v>
      </c>
      <c r="D72">
        <f ca="1"/>
        <v>2.2475142836063653</v>
      </c>
      <c r="E72">
        <f ca="1"/>
        <v>0.34739800837464108</v>
      </c>
      <c r="F72">
        <f ca="1"/>
        <v>1.3421215101584894</v>
      </c>
      <c r="G72">
        <f ca="1"/>
        <v>2.2475142836063653</v>
      </c>
      <c r="H72">
        <f ca="1"/>
        <v>2.2475142836063653</v>
      </c>
      <c r="I72">
        <f ca="1"/>
        <v>4.554583214314067</v>
      </c>
      <c r="J72">
        <f ca="1"/>
        <v>1.3421215101584894</v>
      </c>
      <c r="K72">
        <f ca="1"/>
        <v>0</v>
      </c>
    </row>
    <row r="73" spans="1:11" x14ac:dyDescent="0.3">
      <c r="A73">
        <v>60</v>
      </c>
      <c r="B73">
        <f ca="1"/>
        <v>1.9901581786378268</v>
      </c>
      <c r="C73">
        <f ca="1"/>
        <v>8.1253227731517335</v>
      </c>
      <c r="D73">
        <f ca="1"/>
        <v>17.076795622553178</v>
      </c>
      <c r="E73">
        <f ca="1"/>
        <v>2.1889250779259797</v>
      </c>
      <c r="F73">
        <f ca="1"/>
        <v>1.191017317701268</v>
      </c>
      <c r="G73">
        <f ca="1"/>
        <v>17.076795622553178</v>
      </c>
      <c r="H73">
        <f ca="1"/>
        <v>8.1253227731517335</v>
      </c>
      <c r="I73">
        <f ca="1"/>
        <v>8.1253227731517335</v>
      </c>
      <c r="J73">
        <f ca="1"/>
        <v>1.191017317701268</v>
      </c>
      <c r="K73">
        <f ca="1"/>
        <v>0</v>
      </c>
    </row>
    <row r="74" spans="1:11" x14ac:dyDescent="0.3">
      <c r="A74">
        <v>61</v>
      </c>
      <c r="B74">
        <f ca="1"/>
        <v>3.4565631343833862</v>
      </c>
      <c r="C74">
        <f ca="1"/>
        <v>2.4582094045331053</v>
      </c>
      <c r="D74">
        <f ca="1"/>
        <v>8.7965416217282808</v>
      </c>
      <c r="E74">
        <f ca="1"/>
        <v>1.2760680224958727</v>
      </c>
      <c r="F74">
        <f ca="1"/>
        <v>0.87778567988675271</v>
      </c>
      <c r="G74">
        <f ca="1"/>
        <v>8.7965416217282808</v>
      </c>
      <c r="H74">
        <f ca="1"/>
        <v>2.4582094045331053</v>
      </c>
      <c r="I74">
        <f ca="1"/>
        <v>3.4565631343833862</v>
      </c>
      <c r="J74">
        <f ca="1"/>
        <v>0.87778567988675271</v>
      </c>
      <c r="K74">
        <f ca="1"/>
        <v>0</v>
      </c>
    </row>
    <row r="75" spans="1:11" x14ac:dyDescent="0.3">
      <c r="A75">
        <v>62</v>
      </c>
      <c r="B75">
        <f ca="1"/>
        <v>4.1711300058654714</v>
      </c>
      <c r="C75">
        <f ca="1"/>
        <v>7.2803842867235335</v>
      </c>
      <c r="D75">
        <f ca="1"/>
        <v>0.66558596281402982</v>
      </c>
      <c r="E75">
        <f ca="1"/>
        <v>4.2242289906010679</v>
      </c>
      <c r="F75">
        <f ca="1"/>
        <v>1.7334078661193772</v>
      </c>
      <c r="G75">
        <f ca="1"/>
        <v>4.2242289906010679</v>
      </c>
      <c r="H75">
        <f ca="1"/>
        <v>4.2242289906010679</v>
      </c>
      <c r="I75">
        <f ca="1"/>
        <v>4.2242289906010679</v>
      </c>
      <c r="J75">
        <f ca="1"/>
        <v>1.7334078661193772</v>
      </c>
      <c r="K75">
        <f ca="1"/>
        <v>0</v>
      </c>
    </row>
    <row r="76" spans="1:11" x14ac:dyDescent="0.3">
      <c r="A76">
        <v>63</v>
      </c>
      <c r="B76">
        <f ca="1"/>
        <v>2.2151391638629598</v>
      </c>
      <c r="C76">
        <f ca="1"/>
        <v>5.1918661879763013</v>
      </c>
      <c r="D76">
        <f ca="1"/>
        <v>0.71430288253901608</v>
      </c>
      <c r="E76">
        <f ca="1"/>
        <v>5.2710367041446951</v>
      </c>
      <c r="F76">
        <f ca="1"/>
        <v>12.283423381831426</v>
      </c>
      <c r="G76">
        <f ca="1"/>
        <v>5.2710367041446951</v>
      </c>
      <c r="H76">
        <f ca="1"/>
        <v>5.1918661879763013</v>
      </c>
      <c r="I76">
        <f ca="1"/>
        <v>5.1918661879763013</v>
      </c>
      <c r="J76">
        <f ca="1"/>
        <v>5.1918661879763013</v>
      </c>
      <c r="K76">
        <f ca="1"/>
        <v>0</v>
      </c>
    </row>
    <row r="77" spans="1:11" x14ac:dyDescent="0.3">
      <c r="A77">
        <v>64</v>
      </c>
      <c r="B77">
        <f ca="1"/>
        <v>3.9306498080131376</v>
      </c>
      <c r="C77">
        <f ca="1"/>
        <v>0.23862795742537415</v>
      </c>
      <c r="D77">
        <f ca="1"/>
        <v>8.2814044506166873</v>
      </c>
      <c r="E77">
        <f ca="1"/>
        <v>0.67582586198683392</v>
      </c>
      <c r="F77">
        <f ca="1"/>
        <v>7.2886178820433756</v>
      </c>
      <c r="G77">
        <f ca="1"/>
        <v>8.2814044506166873</v>
      </c>
      <c r="H77">
        <f ca="1"/>
        <v>0.23862795742537415</v>
      </c>
      <c r="I77">
        <f ca="1"/>
        <v>3.9306498080131376</v>
      </c>
      <c r="J77">
        <f ca="1"/>
        <v>3.9306498080131376</v>
      </c>
      <c r="K77">
        <f ca="1"/>
        <v>0</v>
      </c>
    </row>
    <row r="78" spans="1:11" x14ac:dyDescent="0.3">
      <c r="A78">
        <v>65</v>
      </c>
      <c r="B78">
        <f ca="1"/>
        <v>0.88433128934741201</v>
      </c>
      <c r="C78">
        <f ca="1"/>
        <v>2.9588428357171366</v>
      </c>
      <c r="D78">
        <f ca="1"/>
        <v>5.9330319112298779</v>
      </c>
      <c r="E78">
        <f ca="1"/>
        <v>0.64337657589505937</v>
      </c>
      <c r="F78">
        <f ca="1"/>
        <v>9.2415870506935072</v>
      </c>
      <c r="G78">
        <f ca="1"/>
        <v>5.9330319112298779</v>
      </c>
      <c r="H78">
        <f ca="1"/>
        <v>2.9588428357171366</v>
      </c>
      <c r="I78">
        <f ca="1"/>
        <v>2.9588428357171366</v>
      </c>
      <c r="J78">
        <f ca="1"/>
        <v>2.9588428357171366</v>
      </c>
      <c r="K78">
        <f ca="1"/>
        <v>0</v>
      </c>
    </row>
    <row r="79" spans="1:11" x14ac:dyDescent="0.3">
      <c r="A79">
        <v>66</v>
      </c>
      <c r="B79">
        <f ca="1"/>
        <v>4.7557285693006071</v>
      </c>
      <c r="C79">
        <f ca="1"/>
        <v>12.18478808691121</v>
      </c>
      <c r="D79">
        <f ca="1"/>
        <v>1.2935114984372331</v>
      </c>
      <c r="E79">
        <f ca="1"/>
        <v>2.7963537122245699</v>
      </c>
      <c r="F79">
        <f ca="1"/>
        <v>6.6747661404256693</v>
      </c>
      <c r="G79">
        <f ca="1"/>
        <v>2.7963537122245699</v>
      </c>
      <c r="H79">
        <f ca="1"/>
        <v>2.7963537122245699</v>
      </c>
      <c r="I79">
        <f ca="1"/>
        <v>4.7557285693006071</v>
      </c>
      <c r="J79">
        <f ca="1"/>
        <v>4.7557285693006071</v>
      </c>
      <c r="K79">
        <f ca="1"/>
        <v>0</v>
      </c>
    </row>
    <row r="80" spans="1:11" x14ac:dyDescent="0.3">
      <c r="A80">
        <v>67</v>
      </c>
      <c r="B80">
        <f ca="1"/>
        <v>6.107376383694576</v>
      </c>
      <c r="C80">
        <f ca="1"/>
        <v>2.6776789845178897</v>
      </c>
      <c r="D80">
        <f ca="1"/>
        <v>2.7026178207914073</v>
      </c>
      <c r="E80">
        <f ca="1"/>
        <v>2.8408655161315139</v>
      </c>
      <c r="F80">
        <f ca="1"/>
        <v>9.4503619188657577</v>
      </c>
      <c r="G80">
        <f ca="1"/>
        <v>2.8408655161315139</v>
      </c>
      <c r="H80">
        <f ca="1"/>
        <v>2.6776789845178897</v>
      </c>
      <c r="I80">
        <f ca="1"/>
        <v>6.107376383694576</v>
      </c>
      <c r="J80">
        <f ca="1"/>
        <v>6.107376383694576</v>
      </c>
      <c r="K80">
        <f ca="1"/>
        <v>0</v>
      </c>
    </row>
    <row r="81" spans="1:11" x14ac:dyDescent="0.3">
      <c r="A81">
        <v>68</v>
      </c>
      <c r="B81">
        <f ca="1"/>
        <v>21.317218627532974</v>
      </c>
      <c r="C81">
        <f ca="1"/>
        <v>2.8154120482287044</v>
      </c>
      <c r="D81">
        <f ca="1"/>
        <v>7.8713207532283747</v>
      </c>
      <c r="E81">
        <f ca="1"/>
        <v>3.3400743986651236</v>
      </c>
      <c r="F81">
        <f ca="1"/>
        <v>4.2436449986253217</v>
      </c>
      <c r="G81">
        <f ca="1"/>
        <v>7.8713207532283747</v>
      </c>
      <c r="H81">
        <f ca="1"/>
        <v>2.8154120482287044</v>
      </c>
      <c r="I81">
        <f ca="1"/>
        <v>21.317218627532974</v>
      </c>
      <c r="J81">
        <f ca="1"/>
        <v>4.2436449986253217</v>
      </c>
      <c r="K81">
        <f ca="1"/>
        <v>0</v>
      </c>
    </row>
    <row r="82" spans="1:11" x14ac:dyDescent="0.3">
      <c r="A82">
        <v>69</v>
      </c>
      <c r="B82">
        <f ca="1"/>
        <v>8.9396841717394523E-2</v>
      </c>
      <c r="C82">
        <f ca="1"/>
        <v>24.08448119883127</v>
      </c>
      <c r="D82">
        <f ca="1"/>
        <v>8.4880103485552088</v>
      </c>
      <c r="E82">
        <f ca="1"/>
        <v>16.918347734411235</v>
      </c>
      <c r="F82">
        <f ca="1"/>
        <v>6.4484898190959381</v>
      </c>
      <c r="G82">
        <f ca="1"/>
        <v>16.918347734411235</v>
      </c>
      <c r="H82">
        <f ca="1"/>
        <v>16.918347734411235</v>
      </c>
      <c r="I82">
        <f ca="1"/>
        <v>16.918347734411235</v>
      </c>
      <c r="J82">
        <f ca="1"/>
        <v>6.4484898190959381</v>
      </c>
      <c r="K82">
        <f ca="1"/>
        <v>0</v>
      </c>
    </row>
    <row r="83" spans="1:11" x14ac:dyDescent="0.3">
      <c r="A83">
        <v>70</v>
      </c>
      <c r="B83">
        <f ca="1"/>
        <v>20.505024270727333</v>
      </c>
      <c r="C83">
        <f ca="1"/>
        <v>1.8794560392954327</v>
      </c>
      <c r="D83">
        <f ca="1"/>
        <v>15.270732327503511</v>
      </c>
      <c r="E83">
        <f ca="1"/>
        <v>8.3553503493595649</v>
      </c>
      <c r="F83">
        <f ca="1"/>
        <v>7.6426614525930781</v>
      </c>
      <c r="G83">
        <f ca="1"/>
        <v>15.270732327503511</v>
      </c>
      <c r="H83">
        <f ca="1"/>
        <v>1.8794560392954327</v>
      </c>
      <c r="I83">
        <f ca="1"/>
        <v>20.505024270727333</v>
      </c>
      <c r="J83">
        <f ca="1"/>
        <v>7.6426614525930781</v>
      </c>
      <c r="K83">
        <f ca="1"/>
        <v>1</v>
      </c>
    </row>
    <row r="84" spans="1:11" x14ac:dyDescent="0.3">
      <c r="A84">
        <v>71</v>
      </c>
      <c r="B84">
        <f ca="1"/>
        <v>12.505858458678919</v>
      </c>
      <c r="C84">
        <f ca="1"/>
        <v>0.79261641008215156</v>
      </c>
      <c r="D84">
        <f ca="1"/>
        <v>5.350665101513072</v>
      </c>
      <c r="E84">
        <f ca="1"/>
        <v>5.2397260222404145E-3</v>
      </c>
      <c r="F84">
        <f ca="1"/>
        <v>2.8226232531284396</v>
      </c>
      <c r="G84">
        <f ca="1"/>
        <v>5.350665101513072</v>
      </c>
      <c r="H84">
        <f ca="1"/>
        <v>0.79261641008215156</v>
      </c>
      <c r="I84">
        <f ca="1"/>
        <v>12.505858458678919</v>
      </c>
      <c r="J84">
        <f ca="1"/>
        <v>2.8226232531284396</v>
      </c>
      <c r="K84">
        <f ca="1"/>
        <v>0</v>
      </c>
    </row>
    <row r="85" spans="1:11" x14ac:dyDescent="0.3">
      <c r="A85">
        <v>72</v>
      </c>
      <c r="B85">
        <f ca="1"/>
        <v>10.325355313682314</v>
      </c>
      <c r="C85">
        <f ca="1"/>
        <v>0.63652997318589744</v>
      </c>
      <c r="D85">
        <f ca="1"/>
        <v>4.6220579589953648</v>
      </c>
      <c r="E85">
        <f ca="1"/>
        <v>0.12929823861050749</v>
      </c>
      <c r="F85">
        <f ca="1"/>
        <v>4.038995239628834</v>
      </c>
      <c r="G85">
        <f ca="1"/>
        <v>4.6220579589953648</v>
      </c>
      <c r="H85">
        <f ca="1"/>
        <v>0.63652997318589744</v>
      </c>
      <c r="I85">
        <f ca="1"/>
        <v>10.325355313682314</v>
      </c>
      <c r="J85">
        <f ca="1"/>
        <v>4.038995239628834</v>
      </c>
      <c r="K85">
        <f ca="1"/>
        <v>0</v>
      </c>
    </row>
    <row r="86" spans="1:11" x14ac:dyDescent="0.3">
      <c r="A86">
        <v>73</v>
      </c>
      <c r="B86">
        <f ca="1"/>
        <v>17.421339474367727</v>
      </c>
      <c r="C86">
        <f ca="1"/>
        <v>5.3944132546519228</v>
      </c>
      <c r="D86">
        <f ca="1"/>
        <v>0.77663647140888203</v>
      </c>
      <c r="E86">
        <f ca="1"/>
        <v>3.2719576123644507</v>
      </c>
      <c r="F86">
        <f ca="1"/>
        <v>2.6748688977011583</v>
      </c>
      <c r="G86">
        <f ca="1"/>
        <v>3.2719576123644507</v>
      </c>
      <c r="H86">
        <f ca="1"/>
        <v>3.2719576123644507</v>
      </c>
      <c r="I86">
        <f ca="1"/>
        <v>17.421339474367727</v>
      </c>
      <c r="J86">
        <f ca="1"/>
        <v>2.6748688977011583</v>
      </c>
      <c r="K86">
        <f ca="1"/>
        <v>0</v>
      </c>
    </row>
    <row r="87" spans="1:11" x14ac:dyDescent="0.3">
      <c r="A87">
        <v>74</v>
      </c>
      <c r="B87">
        <f ca="1"/>
        <v>2.2238221973129439</v>
      </c>
      <c r="C87">
        <f ca="1"/>
        <v>6.6977883633161017</v>
      </c>
      <c r="D87">
        <f ca="1"/>
        <v>4.706007453109847</v>
      </c>
      <c r="E87">
        <f ca="1"/>
        <v>5.8592160164640603</v>
      </c>
      <c r="F87">
        <f ca="1"/>
        <v>2.9380315982149616</v>
      </c>
      <c r="G87">
        <f ca="1"/>
        <v>5.8592160164640603</v>
      </c>
      <c r="H87">
        <f ca="1"/>
        <v>5.8592160164640603</v>
      </c>
      <c r="I87">
        <f ca="1"/>
        <v>5.8592160164640603</v>
      </c>
      <c r="J87">
        <f ca="1"/>
        <v>2.9380315982149616</v>
      </c>
      <c r="K87">
        <f ca="1"/>
        <v>0</v>
      </c>
    </row>
    <row r="88" spans="1:11" x14ac:dyDescent="0.3">
      <c r="A88">
        <v>75</v>
      </c>
      <c r="B88">
        <f ca="1"/>
        <v>3.8143919573279588</v>
      </c>
      <c r="C88">
        <f ca="1"/>
        <v>15.629746378152262</v>
      </c>
      <c r="D88">
        <f ca="1"/>
        <v>12.459330358158756</v>
      </c>
      <c r="E88">
        <f ca="1"/>
        <v>0.33742953983023599</v>
      </c>
      <c r="F88">
        <f ca="1"/>
        <v>0.9427014057508738</v>
      </c>
      <c r="G88">
        <f ca="1"/>
        <v>12.459330358158756</v>
      </c>
      <c r="H88">
        <f ca="1"/>
        <v>12.459330358158756</v>
      </c>
      <c r="I88">
        <f ca="1"/>
        <v>12.459330358158756</v>
      </c>
      <c r="J88">
        <f ca="1"/>
        <v>0.9427014057508738</v>
      </c>
      <c r="K88">
        <f ca="1"/>
        <v>0</v>
      </c>
    </row>
    <row r="89" spans="1:11" x14ac:dyDescent="0.3">
      <c r="A89">
        <v>76</v>
      </c>
      <c r="B89">
        <f ca="1"/>
        <v>2.2855012092112497</v>
      </c>
      <c r="C89">
        <f ca="1"/>
        <v>0.56714303482522255</v>
      </c>
      <c r="D89">
        <f ca="1"/>
        <v>6.7307729580581777</v>
      </c>
      <c r="E89">
        <f ca="1"/>
        <v>5.7529993156748791</v>
      </c>
      <c r="F89">
        <f ca="1"/>
        <v>5.2862688455257221</v>
      </c>
      <c r="G89">
        <f ca="1"/>
        <v>6.7307729580581777</v>
      </c>
      <c r="H89">
        <f ca="1"/>
        <v>0.56714303482522255</v>
      </c>
      <c r="I89">
        <f ca="1"/>
        <v>2.2855012092112497</v>
      </c>
      <c r="J89">
        <f ca="1"/>
        <v>2.2855012092112497</v>
      </c>
      <c r="K89">
        <f ca="1"/>
        <v>0</v>
      </c>
    </row>
    <row r="90" spans="1:11" x14ac:dyDescent="0.3">
      <c r="A90">
        <v>77</v>
      </c>
      <c r="B90">
        <f ca="1"/>
        <v>1.9919680651607807</v>
      </c>
      <c r="C90">
        <f ca="1"/>
        <v>8.2238040845825449</v>
      </c>
      <c r="D90">
        <f ca="1"/>
        <v>8.9177623840055384E-2</v>
      </c>
      <c r="E90">
        <f ca="1"/>
        <v>3.9518670045369224</v>
      </c>
      <c r="F90">
        <f ca="1"/>
        <v>7.7063251750091837</v>
      </c>
      <c r="G90">
        <f ca="1"/>
        <v>3.9518670045369224</v>
      </c>
      <c r="H90">
        <f ca="1"/>
        <v>3.9518670045369224</v>
      </c>
      <c r="I90">
        <f ca="1"/>
        <v>3.9518670045369224</v>
      </c>
      <c r="J90">
        <f ca="1"/>
        <v>3.9518670045369224</v>
      </c>
      <c r="K90">
        <f ca="1"/>
        <v>0</v>
      </c>
    </row>
    <row r="91" spans="1:11" x14ac:dyDescent="0.3">
      <c r="A91">
        <v>78</v>
      </c>
      <c r="B91">
        <f ca="1"/>
        <v>20.241527313561392</v>
      </c>
      <c r="C91">
        <f ca="1"/>
        <v>5.1746804357203189</v>
      </c>
      <c r="D91">
        <f ca="1"/>
        <v>1.6718426393719641</v>
      </c>
      <c r="E91">
        <f ca="1"/>
        <v>3.9408505205640325</v>
      </c>
      <c r="F91">
        <f ca="1"/>
        <v>1.1153227213388242</v>
      </c>
      <c r="G91">
        <f ca="1"/>
        <v>3.9408505205640325</v>
      </c>
      <c r="H91">
        <f ca="1"/>
        <v>3.9408505205640325</v>
      </c>
      <c r="I91">
        <f ca="1"/>
        <v>20.241527313561392</v>
      </c>
      <c r="J91">
        <f ca="1"/>
        <v>1.1153227213388242</v>
      </c>
      <c r="K91">
        <f ca="1"/>
        <v>0</v>
      </c>
    </row>
    <row r="92" spans="1:11" x14ac:dyDescent="0.3">
      <c r="A92">
        <v>79</v>
      </c>
      <c r="B92">
        <f ca="1"/>
        <v>15.683623440851203</v>
      </c>
      <c r="C92">
        <f ca="1"/>
        <v>13.59016722725133</v>
      </c>
      <c r="D92">
        <f ca="1"/>
        <v>2.876329963541103</v>
      </c>
      <c r="E92">
        <f ca="1"/>
        <v>9.0656493921265024</v>
      </c>
      <c r="F92">
        <f ca="1"/>
        <v>0.71266338262485496</v>
      </c>
      <c r="G92">
        <f ca="1"/>
        <v>9.0656493921265024</v>
      </c>
      <c r="H92">
        <f ca="1"/>
        <v>9.0656493921265024</v>
      </c>
      <c r="I92">
        <f ca="1"/>
        <v>15.683623440851203</v>
      </c>
      <c r="J92">
        <f ca="1"/>
        <v>0.71266338262485496</v>
      </c>
      <c r="K92">
        <f ca="1"/>
        <v>0</v>
      </c>
    </row>
    <row r="93" spans="1:11" x14ac:dyDescent="0.3">
      <c r="A93">
        <v>80</v>
      </c>
      <c r="B93">
        <f ca="1"/>
        <v>12.22501036839525</v>
      </c>
      <c r="C93">
        <f ca="1"/>
        <v>2.9093309042434945</v>
      </c>
      <c r="D93">
        <f ca="1"/>
        <v>6.6146147002647258</v>
      </c>
      <c r="E93">
        <f ca="1"/>
        <v>3.381824590446334</v>
      </c>
      <c r="F93">
        <f ca="1"/>
        <v>10.337186467967499</v>
      </c>
      <c r="G93">
        <f ca="1"/>
        <v>6.6146147002647258</v>
      </c>
      <c r="H93">
        <f ca="1"/>
        <v>2.9093309042434945</v>
      </c>
      <c r="I93">
        <f ca="1"/>
        <v>12.22501036839525</v>
      </c>
      <c r="J93">
        <f ca="1"/>
        <v>10.337186467967499</v>
      </c>
      <c r="K93">
        <f ca="1"/>
        <v>1</v>
      </c>
    </row>
    <row r="94" spans="1:11" x14ac:dyDescent="0.3">
      <c r="A94">
        <v>81</v>
      </c>
      <c r="B94">
        <f ca="1"/>
        <v>3.5170425173669266</v>
      </c>
      <c r="C94">
        <f ca="1"/>
        <v>5.4026263596587842</v>
      </c>
      <c r="D94">
        <f ca="1"/>
        <v>2.1531534667311494</v>
      </c>
      <c r="E94">
        <f ca="1"/>
        <v>2.7786653543779591</v>
      </c>
      <c r="F94">
        <f ca="1"/>
        <v>11.026767335986738</v>
      </c>
      <c r="G94">
        <f ca="1"/>
        <v>2.7786653543779591</v>
      </c>
      <c r="H94">
        <f ca="1"/>
        <v>2.7786653543779591</v>
      </c>
      <c r="I94">
        <f ca="1"/>
        <v>3.5170425173669266</v>
      </c>
      <c r="J94">
        <f ca="1"/>
        <v>3.5170425173669266</v>
      </c>
      <c r="K94">
        <f ca="1"/>
        <v>0</v>
      </c>
    </row>
    <row r="95" spans="1:11" x14ac:dyDescent="0.3">
      <c r="A95">
        <v>82</v>
      </c>
      <c r="B95">
        <f ca="1"/>
        <v>3.708084188346227</v>
      </c>
      <c r="C95">
        <f ca="1"/>
        <v>1.8644905155904237</v>
      </c>
      <c r="D95">
        <f ca="1"/>
        <v>12.03404533162875</v>
      </c>
      <c r="E95">
        <f ca="1"/>
        <v>2.6492925420299045</v>
      </c>
      <c r="F95">
        <f ca="1"/>
        <v>3.8867025523343646</v>
      </c>
      <c r="G95">
        <f ca="1"/>
        <v>12.03404533162875</v>
      </c>
      <c r="H95">
        <f ca="1"/>
        <v>1.8644905155904237</v>
      </c>
      <c r="I95">
        <f ca="1"/>
        <v>3.708084188346227</v>
      </c>
      <c r="J95">
        <f ca="1"/>
        <v>3.708084188346227</v>
      </c>
      <c r="K95">
        <f ca="1"/>
        <v>0</v>
      </c>
    </row>
    <row r="96" spans="1:11" x14ac:dyDescent="0.3">
      <c r="A96">
        <v>83</v>
      </c>
      <c r="B96">
        <f ca="1"/>
        <v>12.55663363820527</v>
      </c>
      <c r="C96">
        <f ca="1"/>
        <v>0.21343274120588654</v>
      </c>
      <c r="D96">
        <f ca="1"/>
        <v>5.112644568516745E-2</v>
      </c>
      <c r="E96">
        <f ca="1"/>
        <v>0.39079991135424852</v>
      </c>
      <c r="F96">
        <f ca="1"/>
        <v>3.664132738256594</v>
      </c>
      <c r="G96">
        <f ca="1"/>
        <v>0.39079991135424852</v>
      </c>
      <c r="H96">
        <f ca="1"/>
        <v>0.21343274120588654</v>
      </c>
      <c r="I96">
        <f ca="1"/>
        <v>12.55663363820527</v>
      </c>
      <c r="J96">
        <f ca="1"/>
        <v>3.664132738256594</v>
      </c>
      <c r="K96">
        <f ca="1"/>
        <v>0</v>
      </c>
    </row>
    <row r="97" spans="1:11" x14ac:dyDescent="0.3">
      <c r="A97">
        <v>84</v>
      </c>
      <c r="B97">
        <f ca="1"/>
        <v>3.9644422950717937</v>
      </c>
      <c r="C97">
        <f ca="1"/>
        <v>19.033226869455085</v>
      </c>
      <c r="D97">
        <f ca="1"/>
        <v>6.8939787268847592</v>
      </c>
      <c r="E97">
        <f ca="1"/>
        <v>3.5447646694854003</v>
      </c>
      <c r="F97">
        <f ca="1"/>
        <v>3.3899723155387393</v>
      </c>
      <c r="G97">
        <f ca="1"/>
        <v>6.8939787268847592</v>
      </c>
      <c r="H97">
        <f ca="1"/>
        <v>6.8939787268847592</v>
      </c>
      <c r="I97">
        <f ca="1"/>
        <v>6.8939787268847592</v>
      </c>
      <c r="J97">
        <f ca="1"/>
        <v>3.3899723155387393</v>
      </c>
      <c r="K97">
        <f ca="1"/>
        <v>0</v>
      </c>
    </row>
    <row r="98" spans="1:11" x14ac:dyDescent="0.3">
      <c r="A98">
        <v>85</v>
      </c>
      <c r="B98">
        <f ca="1"/>
        <v>1.6416774483011496</v>
      </c>
      <c r="C98">
        <f ca="1"/>
        <v>18.579965668088533</v>
      </c>
      <c r="D98">
        <f ca="1"/>
        <v>8.0757575377470339</v>
      </c>
      <c r="E98">
        <f ca="1"/>
        <v>5.445250676137606</v>
      </c>
      <c r="F98">
        <f ca="1"/>
        <v>0.54576223889811548</v>
      </c>
      <c r="G98">
        <f ca="1"/>
        <v>8.0757575377470339</v>
      </c>
      <c r="H98">
        <f ca="1"/>
        <v>8.0757575377470339</v>
      </c>
      <c r="I98">
        <f ca="1"/>
        <v>8.0757575377470339</v>
      </c>
      <c r="J98">
        <f ca="1"/>
        <v>0.54576223889811548</v>
      </c>
      <c r="K98">
        <f ca="1"/>
        <v>0</v>
      </c>
    </row>
    <row r="99" spans="1:11" x14ac:dyDescent="0.3">
      <c r="A99">
        <v>86</v>
      </c>
      <c r="B99">
        <f ca="1"/>
        <v>45.76864666261006</v>
      </c>
      <c r="C99">
        <f ca="1"/>
        <v>5.5307236598636154</v>
      </c>
      <c r="D99">
        <f ca="1"/>
        <v>1.4792377940503845</v>
      </c>
      <c r="E99">
        <f ca="1"/>
        <v>2.5479024204782292</v>
      </c>
      <c r="F99">
        <f ca="1"/>
        <v>2.4005982451565684</v>
      </c>
      <c r="G99">
        <f ca="1"/>
        <v>2.5479024204782292</v>
      </c>
      <c r="H99">
        <f ca="1"/>
        <v>2.5479024204782292</v>
      </c>
      <c r="I99">
        <f ca="1"/>
        <v>45.76864666261006</v>
      </c>
      <c r="J99">
        <f ca="1"/>
        <v>2.4005982451565684</v>
      </c>
      <c r="K99">
        <f ca="1"/>
        <v>0</v>
      </c>
    </row>
    <row r="100" spans="1:11" x14ac:dyDescent="0.3">
      <c r="A100">
        <v>87</v>
      </c>
      <c r="B100">
        <f ca="1"/>
        <v>13.938242829819439</v>
      </c>
      <c r="C100">
        <f ca="1"/>
        <v>3.3854528620732212</v>
      </c>
      <c r="D100">
        <f ca="1"/>
        <v>5.3368034715447124</v>
      </c>
      <c r="E100">
        <f ca="1"/>
        <v>1.6520191598353797</v>
      </c>
      <c r="F100">
        <f ca="1"/>
        <v>2.3368280165280719</v>
      </c>
      <c r="G100">
        <f ca="1"/>
        <v>5.3368034715447124</v>
      </c>
      <c r="H100">
        <f ca="1"/>
        <v>3.3854528620732212</v>
      </c>
      <c r="I100">
        <f ca="1"/>
        <v>13.938242829819439</v>
      </c>
      <c r="J100">
        <f ca="1"/>
        <v>2.3368280165280719</v>
      </c>
      <c r="K100">
        <f ca="1"/>
        <v>0</v>
      </c>
    </row>
    <row r="101" spans="1:11" x14ac:dyDescent="0.3">
      <c r="A101">
        <v>88</v>
      </c>
      <c r="B101">
        <f ca="1"/>
        <v>6.5376432454631921</v>
      </c>
      <c r="C101">
        <f ca="1"/>
        <v>19.80904166465616</v>
      </c>
      <c r="D101">
        <f ca="1"/>
        <v>8.3770644872085871</v>
      </c>
      <c r="E101">
        <f ca="1"/>
        <v>6.0163630634449463</v>
      </c>
      <c r="F101">
        <f ca="1"/>
        <v>7.0861458675937019</v>
      </c>
      <c r="G101">
        <f ca="1"/>
        <v>8.3770644872085871</v>
      </c>
      <c r="H101">
        <f ca="1"/>
        <v>8.3770644872085871</v>
      </c>
      <c r="I101">
        <f ca="1"/>
        <v>8.3770644872085871</v>
      </c>
      <c r="J101">
        <f ca="1"/>
        <v>7.0861458675937019</v>
      </c>
      <c r="K101">
        <f ca="1"/>
        <v>1</v>
      </c>
    </row>
    <row r="102" spans="1:11" x14ac:dyDescent="0.3">
      <c r="A102">
        <v>89</v>
      </c>
      <c r="B102">
        <f ca="1"/>
        <v>1.7663952804006264</v>
      </c>
      <c r="C102">
        <f ca="1"/>
        <v>2.7133863648345216</v>
      </c>
      <c r="D102">
        <f ca="1"/>
        <v>4.7831757544954545</v>
      </c>
      <c r="E102">
        <f ca="1"/>
        <v>2.0464936024198455</v>
      </c>
      <c r="F102">
        <f ca="1"/>
        <v>7.1522730911137691</v>
      </c>
      <c r="G102">
        <f ca="1"/>
        <v>4.7831757544954545</v>
      </c>
      <c r="H102">
        <f ca="1"/>
        <v>2.7133863648345216</v>
      </c>
      <c r="I102">
        <f ca="1"/>
        <v>2.7133863648345216</v>
      </c>
      <c r="J102">
        <f ca="1"/>
        <v>2.7133863648345216</v>
      </c>
      <c r="K102">
        <f ca="1"/>
        <v>0</v>
      </c>
    </row>
    <row r="103" spans="1:11" x14ac:dyDescent="0.3">
      <c r="A103">
        <v>90</v>
      </c>
      <c r="B103">
        <f ca="1"/>
        <v>8.5588125476700654</v>
      </c>
      <c r="C103">
        <f ca="1"/>
        <v>4.4123689646449522</v>
      </c>
      <c r="D103">
        <f ca="1"/>
        <v>7.1028327578887041</v>
      </c>
      <c r="E103">
        <f ca="1"/>
        <v>5.4668045164810053</v>
      </c>
      <c r="F103">
        <f ca="1"/>
        <v>7.5525726376902984</v>
      </c>
      <c r="G103">
        <f ca="1"/>
        <v>7.1028327578887041</v>
      </c>
      <c r="H103">
        <f ca="1"/>
        <v>4.4123689646449522</v>
      </c>
      <c r="I103">
        <f ca="1"/>
        <v>8.5588125476700654</v>
      </c>
      <c r="J103">
        <f ca="1"/>
        <v>7.5525726376902984</v>
      </c>
      <c r="K103">
        <f ca="1"/>
        <v>1</v>
      </c>
    </row>
    <row r="104" spans="1:11" x14ac:dyDescent="0.3">
      <c r="A104">
        <v>91</v>
      </c>
      <c r="B104">
        <f ca="1"/>
        <v>22.679526848403224</v>
      </c>
      <c r="C104">
        <f ca="1"/>
        <v>25.598643092011507</v>
      </c>
      <c r="D104">
        <f ca="1"/>
        <v>11.825914552342587</v>
      </c>
      <c r="E104">
        <f ca="1"/>
        <v>3.9445132564633241</v>
      </c>
      <c r="F104">
        <f ca="1"/>
        <v>9.6287506095134301</v>
      </c>
      <c r="G104">
        <f ca="1"/>
        <v>11.825914552342587</v>
      </c>
      <c r="H104">
        <f ca="1"/>
        <v>11.825914552342587</v>
      </c>
      <c r="I104">
        <f ca="1"/>
        <v>22.679526848403224</v>
      </c>
      <c r="J104">
        <f ca="1"/>
        <v>9.6287506095134301</v>
      </c>
      <c r="K104">
        <f ca="1"/>
        <v>1</v>
      </c>
    </row>
    <row r="105" spans="1:11" x14ac:dyDescent="0.3">
      <c r="A105">
        <v>92</v>
      </c>
      <c r="B105">
        <f ca="1"/>
        <v>1.8502804050786528</v>
      </c>
      <c r="C105">
        <f ca="1"/>
        <v>24.376386747662838</v>
      </c>
      <c r="D105">
        <f ca="1"/>
        <v>2.4002082649716265</v>
      </c>
      <c r="E105">
        <f ca="1"/>
        <v>2.2585636864595489</v>
      </c>
      <c r="F105">
        <f ca="1"/>
        <v>2.5764032986425227</v>
      </c>
      <c r="G105">
        <f ca="1"/>
        <v>2.4002082649716265</v>
      </c>
      <c r="H105">
        <f ca="1"/>
        <v>2.4002082649716265</v>
      </c>
      <c r="I105">
        <f ca="1"/>
        <v>2.4002082649716265</v>
      </c>
      <c r="J105">
        <f ca="1"/>
        <v>2.4002082649716265</v>
      </c>
      <c r="K105">
        <f ca="1"/>
        <v>0</v>
      </c>
    </row>
    <row r="106" spans="1:11" x14ac:dyDescent="0.3">
      <c r="A106">
        <v>93</v>
      </c>
      <c r="B106">
        <f ca="1"/>
        <v>1.7694340405563085</v>
      </c>
      <c r="C106">
        <f ca="1"/>
        <v>3.2810812305155239</v>
      </c>
      <c r="D106">
        <f ca="1"/>
        <v>10.712879520912875</v>
      </c>
      <c r="E106">
        <f ca="1"/>
        <v>1.9745893178816916</v>
      </c>
      <c r="F106">
        <f ca="1"/>
        <v>3.204174162945554</v>
      </c>
      <c r="G106">
        <f ca="1"/>
        <v>10.712879520912875</v>
      </c>
      <c r="H106">
        <f ca="1"/>
        <v>3.2810812305155239</v>
      </c>
      <c r="I106">
        <f ca="1"/>
        <v>3.2810812305155239</v>
      </c>
      <c r="J106">
        <f ca="1"/>
        <v>3.204174162945554</v>
      </c>
      <c r="K106">
        <f ca="1"/>
        <v>0</v>
      </c>
    </row>
    <row r="107" spans="1:11" x14ac:dyDescent="0.3">
      <c r="A107">
        <v>94</v>
      </c>
      <c r="B107">
        <f ca="1"/>
        <v>30.909252886172766</v>
      </c>
      <c r="C107">
        <f ca="1"/>
        <v>1.8949210229682085</v>
      </c>
      <c r="D107">
        <f ca="1"/>
        <v>6.7087630972646179</v>
      </c>
      <c r="E107">
        <f ca="1"/>
        <v>7.146256504407493E-2</v>
      </c>
      <c r="F107">
        <f ca="1"/>
        <v>10.436353666309298</v>
      </c>
      <c r="G107">
        <f ca="1"/>
        <v>6.7087630972646179</v>
      </c>
      <c r="H107">
        <f ca="1"/>
        <v>1.8949210229682085</v>
      </c>
      <c r="I107">
        <f ca="1"/>
        <v>30.909252886172766</v>
      </c>
      <c r="J107">
        <f ca="1"/>
        <v>10.436353666309298</v>
      </c>
      <c r="K107">
        <f ca="1"/>
        <v>1</v>
      </c>
    </row>
    <row r="108" spans="1:11" x14ac:dyDescent="0.3">
      <c r="A108">
        <v>95</v>
      </c>
      <c r="B108">
        <f ca="1"/>
        <v>20.595273229145565</v>
      </c>
      <c r="C108">
        <f ca="1"/>
        <v>15.797707101151598</v>
      </c>
      <c r="D108">
        <f ca="1"/>
        <v>8.7893207309328663</v>
      </c>
      <c r="E108">
        <f ca="1"/>
        <v>0.85473360817683475</v>
      </c>
      <c r="F108">
        <f ca="1"/>
        <v>2.1697052299441628</v>
      </c>
      <c r="G108">
        <f ca="1"/>
        <v>8.7893207309328663</v>
      </c>
      <c r="H108">
        <f ca="1"/>
        <v>8.7893207309328663</v>
      </c>
      <c r="I108">
        <f ca="1"/>
        <v>20.595273229145565</v>
      </c>
      <c r="J108">
        <f ca="1"/>
        <v>2.1697052299441628</v>
      </c>
      <c r="K108">
        <f ca="1"/>
        <v>0</v>
      </c>
    </row>
    <row r="109" spans="1:11" x14ac:dyDescent="0.3">
      <c r="A109">
        <v>96</v>
      </c>
      <c r="B109">
        <f ca="1"/>
        <v>22.134969455674728</v>
      </c>
      <c r="C109">
        <f ca="1"/>
        <v>10.64962585068567</v>
      </c>
      <c r="D109">
        <f ca="1"/>
        <v>6.3941268500583197</v>
      </c>
      <c r="E109">
        <f ca="1"/>
        <v>2.2446208347712782</v>
      </c>
      <c r="F109">
        <f ca="1"/>
        <v>6.9046039910924062</v>
      </c>
      <c r="G109">
        <f ca="1"/>
        <v>6.3941268500583197</v>
      </c>
      <c r="H109">
        <f ca="1"/>
        <v>6.3941268500583197</v>
      </c>
      <c r="I109">
        <f ca="1"/>
        <v>22.134969455674728</v>
      </c>
      <c r="J109">
        <f ca="1"/>
        <v>6.9046039910924062</v>
      </c>
      <c r="K109">
        <f ca="1"/>
        <v>0</v>
      </c>
    </row>
    <row r="110" spans="1:11" x14ac:dyDescent="0.3">
      <c r="A110">
        <v>97</v>
      </c>
      <c r="B110">
        <f ca="1"/>
        <v>4.7912442747500723</v>
      </c>
      <c r="C110">
        <f ca="1"/>
        <v>7.1905920101514385</v>
      </c>
      <c r="D110">
        <f ca="1"/>
        <v>3.4286873118211019</v>
      </c>
      <c r="E110">
        <f ca="1"/>
        <v>2.302373387486349</v>
      </c>
      <c r="F110">
        <f ca="1"/>
        <v>0.49168304676537083</v>
      </c>
      <c r="G110">
        <f ca="1"/>
        <v>3.4286873118211019</v>
      </c>
      <c r="H110">
        <f ca="1"/>
        <v>3.4286873118211019</v>
      </c>
      <c r="I110">
        <f ca="1"/>
        <v>4.7912442747500723</v>
      </c>
      <c r="J110">
        <f ca="1"/>
        <v>0.49168304676537083</v>
      </c>
      <c r="K110">
        <f ca="1"/>
        <v>0</v>
      </c>
    </row>
    <row r="111" spans="1:11" x14ac:dyDescent="0.3">
      <c r="A111">
        <v>98</v>
      </c>
      <c r="B111">
        <f ca="1"/>
        <v>6.9349568120619729</v>
      </c>
      <c r="C111">
        <f ca="1"/>
        <v>8.4856901828133644</v>
      </c>
      <c r="D111">
        <f ca="1"/>
        <v>5.0942634143441481</v>
      </c>
      <c r="E111">
        <f ca="1"/>
        <v>2.9386941331465182</v>
      </c>
      <c r="F111">
        <f ca="1"/>
        <v>8.9662317818701212</v>
      </c>
      <c r="G111">
        <f ca="1"/>
        <v>5.0942634143441481</v>
      </c>
      <c r="H111">
        <f ca="1"/>
        <v>5.0942634143441481</v>
      </c>
      <c r="I111">
        <f ca="1"/>
        <v>6.9349568120619729</v>
      </c>
      <c r="J111">
        <f ca="1"/>
        <v>6.9349568120619729</v>
      </c>
      <c r="K111">
        <f ca="1"/>
        <v>0</v>
      </c>
    </row>
    <row r="112" spans="1:11" x14ac:dyDescent="0.3">
      <c r="A112">
        <v>99</v>
      </c>
      <c r="B112">
        <f ca="1"/>
        <v>13.287950297257931</v>
      </c>
      <c r="C112">
        <f ca="1"/>
        <v>2.4388199747054462</v>
      </c>
      <c r="D112">
        <f ca="1"/>
        <v>10.562930629651946</v>
      </c>
      <c r="E112">
        <f ca="1"/>
        <v>4.2733223506939035</v>
      </c>
      <c r="F112">
        <f ca="1"/>
        <v>0.33826237915861257</v>
      </c>
      <c r="G112">
        <f ca="1"/>
        <v>10.562930629651946</v>
      </c>
      <c r="H112">
        <f ca="1"/>
        <v>2.4388199747054462</v>
      </c>
      <c r="I112">
        <f ca="1"/>
        <v>13.287950297257931</v>
      </c>
      <c r="J112">
        <f ca="1"/>
        <v>0.33826237915861257</v>
      </c>
      <c r="K112">
        <f ca="1"/>
        <v>0</v>
      </c>
    </row>
    <row r="113" spans="1:11" x14ac:dyDescent="0.3">
      <c r="A113">
        <v>100</v>
      </c>
      <c r="B113">
        <f ca="1"/>
        <v>6.9083479160262042</v>
      </c>
      <c r="C113">
        <f ca="1"/>
        <v>16.020502918222238</v>
      </c>
      <c r="D113">
        <f ca="1"/>
        <v>1.441759049582787</v>
      </c>
      <c r="E113">
        <f ca="1"/>
        <v>4.7114745988737692</v>
      </c>
      <c r="F113">
        <f ca="1"/>
        <v>7.4879537789649353</v>
      </c>
      <c r="G113">
        <f ca="1"/>
        <v>4.7114745988737692</v>
      </c>
      <c r="H113">
        <f ca="1"/>
        <v>4.7114745988737692</v>
      </c>
      <c r="I113">
        <f ca="1"/>
        <v>6.9083479160262042</v>
      </c>
      <c r="J113">
        <f ca="1"/>
        <v>6.9083479160262042</v>
      </c>
      <c r="K113">
        <f ca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PI_estimate</vt:lpstr>
      <vt:lpstr>System_survival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Al-Amin Dipto</dc:creator>
  <cp:lastModifiedBy>2005076 - S. M. Kausar Parvej</cp:lastModifiedBy>
  <dcterms:created xsi:type="dcterms:W3CDTF">2015-06-05T18:17:20Z</dcterms:created>
  <dcterms:modified xsi:type="dcterms:W3CDTF">2026-04-06T07:11:54Z</dcterms:modified>
</cp:coreProperties>
</file>